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剪辑记录" sheetId="1" state="visible" r:id="rId1"/>
    <sheet name="球队统计总表" sheetId="2" state="visible" r:id="rId2"/>
    <sheet name="第1节" sheetId="3" state="visible" r:id="rId3"/>
    <sheet name="第1节数据" sheetId="4" state="visible" r:id="rId4"/>
    <sheet name="第2节" sheetId="5" state="visible" r:id="rId5"/>
    <sheet name="第2节数据" sheetId="6" state="visible" r:id="rId6"/>
    <sheet name="第3节" sheetId="7" state="visible" r:id="rId7"/>
    <sheet name="第3节数据" sheetId="8" state="visible" r:id="rId8"/>
    <sheet name="第4节" sheetId="9" state="visible" r:id="rId9"/>
    <sheet name="第4节数据" sheetId="10" state="visible" r:id="rId10"/>
    <sheet name="第5节" sheetId="11" state="visible" r:id="rId11"/>
    <sheet name="第5节数据" sheetId="12" state="visible" r:id="rId12"/>
    <sheet name="第6节" sheetId="13" state="visible" r:id="rId13"/>
    <sheet name="第6节数据" sheetId="14" state="visible" r:id="rId14"/>
    <sheet name="第7节" sheetId="15" state="visible" r:id="rId15"/>
    <sheet name="第7节数据" sheetId="16" state="visible" r:id="rId16"/>
    <sheet name="第8节" sheetId="17" state="visible" r:id="rId17"/>
    <sheet name="第8节数据" sheetId="18" state="visible" r:id="rId18"/>
    <sheet name="数据核对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h:mm:ss;@"/>
    <numFmt numFmtId="166" formatCode="h:mm:ss.00"/>
  </numFmts>
  <fonts count="40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微软雅黑"/>
      <charset val="134"/>
      <color rgb="FF4B2E83"/>
      <sz val="11"/>
    </font>
    <font>
      <name val="微软雅黑"/>
      <charset val="134"/>
      <b val="1"/>
      <color theme="1"/>
      <sz val="11"/>
    </font>
    <font>
      <name val="微软雅黑"/>
      <charset val="134"/>
      <color theme="1"/>
      <sz val="11"/>
    </font>
    <font>
      <name val="Microsoft YaHei"/>
      <charset val="134"/>
      <b val="1"/>
      <color theme="0"/>
      <sz val="11"/>
    </font>
    <font>
      <name val="微软雅黑"/>
      <charset val="134"/>
      <b val="1"/>
      <color theme="0"/>
      <sz val="11"/>
    </font>
    <font>
      <name val="Microsoft YaHei"/>
      <charset val="134"/>
      <b val="1"/>
      <color rgb="FF4B2E83"/>
      <sz val="10"/>
    </font>
    <font>
      <name val="微软雅黑"/>
      <charset val="134"/>
      <b val="1"/>
      <color rgb="FF4B2E83"/>
      <sz val="11"/>
    </font>
    <font>
      <name val="Microsoft YaHei"/>
      <charset val="134"/>
      <color rgb="FF4B2E83"/>
      <sz val="10"/>
    </font>
    <font>
      <name val="微软雅黑"/>
      <charset val="134"/>
      <i val="1"/>
      <color rgb="FF888888"/>
      <sz val="9"/>
    </font>
    <font>
      <name val="微软雅黑"/>
      <charset val="134"/>
      <b val="1"/>
      <color rgb="FFFFFFFF"/>
      <sz val="11"/>
    </font>
    <font>
      <name val="微软雅黑"/>
      <charset val="134"/>
      <sz val="10.5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  <font>
      <name val="微软雅黑"/>
      <sz val="10"/>
    </font>
    <font>
      <name val="微软雅黑"/>
      <b val="1"/>
      <color rgb="00FFFFFF"/>
      <sz val="12"/>
    </font>
    <font>
      <name val="微软雅黑"/>
      <b val="1"/>
      <sz val="10"/>
    </font>
    <font>
      <name val="微软雅黑"/>
      <b val="1"/>
      <color rgb="00C00000"/>
      <sz val="10"/>
    </font>
    <font>
      <name val="微软雅黑"/>
      <b val="1"/>
      <color rgb="00FFFFFF"/>
      <sz val="11"/>
    </font>
    <font>
      <name val="微软雅黑"/>
      <b val="1"/>
      <color rgb="00FFFFFF"/>
      <sz val="10"/>
    </font>
    <font>
      <name val="微软雅黑"/>
      <b val="1"/>
      <color rgb="004B1D68"/>
      <sz val="10"/>
    </font>
  </fonts>
  <fills count="41">
    <fill>
      <patternFill/>
    </fill>
    <fill>
      <patternFill patternType="gray125"/>
    </fill>
    <fill>
      <patternFill patternType="solid">
        <fgColor rgb="FF4B1D68"/>
        <bgColor indexed="64"/>
      </patternFill>
    </fill>
    <fill>
      <patternFill patternType="solid">
        <fgColor rgb="FFF3EEF9"/>
        <bgColor indexed="64"/>
      </patternFill>
    </fill>
    <fill>
      <patternFill patternType="solid">
        <fgColor rgb="FFF7A6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3370FF"/>
      </patternFill>
    </fill>
    <fill>
      <patternFill patternType="solid">
        <fgColor rgb="00FFF2CC"/>
      </patternFill>
    </fill>
    <fill>
      <patternFill patternType="solid">
        <fgColor rgb="004B1D68"/>
      </patternFill>
    </fill>
    <fill>
      <patternFill patternType="solid">
        <fgColor rgb="00E9DFF2"/>
      </patternFill>
    </fill>
    <fill>
      <patternFill patternType="solid">
        <fgColor rgb="00FF961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5" borderId="4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5" applyAlignment="1">
      <alignment vertical="center"/>
    </xf>
    <xf numFmtId="0" fontId="19" fillId="0" borderId="5" applyAlignment="1">
      <alignment vertical="center"/>
    </xf>
    <xf numFmtId="0" fontId="20" fillId="0" borderId="6" applyAlignment="1">
      <alignment vertical="center"/>
    </xf>
    <xf numFmtId="0" fontId="20" fillId="0" borderId="0" applyAlignment="1">
      <alignment vertical="center"/>
    </xf>
    <xf numFmtId="0" fontId="21" fillId="6" borderId="7" applyAlignment="1">
      <alignment vertical="center"/>
    </xf>
    <xf numFmtId="0" fontId="22" fillId="7" borderId="8" applyAlignment="1">
      <alignment vertical="center"/>
    </xf>
    <xf numFmtId="0" fontId="23" fillId="7" borderId="7" applyAlignment="1">
      <alignment vertical="center"/>
    </xf>
    <xf numFmtId="0" fontId="24" fillId="8" borderId="9" applyAlignment="1">
      <alignment vertical="center"/>
    </xf>
    <xf numFmtId="0" fontId="25" fillId="0" borderId="10" applyAlignment="1">
      <alignment vertical="center"/>
    </xf>
    <xf numFmtId="0" fontId="26" fillId="0" borderId="11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7" fillId="3" borderId="0" applyAlignment="1" pivotButton="0" quotePrefix="0" xfId="0">
      <alignment horizontal="center" vertical="center" wrapText="1"/>
    </xf>
    <xf numFmtId="21" fontId="7" fillId="3" borderId="0" applyAlignment="1" pivotButton="0" quotePrefix="0" xfId="0">
      <alignment horizontal="center" vertical="center" wrapText="1"/>
    </xf>
    <xf numFmtId="1" fontId="7" fillId="3" borderId="0" applyAlignment="1" pivotButton="0" quotePrefix="0" xfId="0">
      <alignment horizontal="center" vertical="center" wrapText="1"/>
    </xf>
    <xf numFmtId="164" fontId="7" fillId="3" borderId="0" applyAlignment="1" pivotButton="0" quotePrefix="0" xfId="0">
      <alignment horizontal="center" vertical="center" wrapText="1"/>
    </xf>
    <xf numFmtId="1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21" fontId="9" fillId="3" borderId="0" applyAlignment="1" pivotButton="0" quotePrefix="0" xfId="0">
      <alignment horizontal="center" vertical="center" wrapText="1"/>
    </xf>
    <xf numFmtId="1" fontId="9" fillId="3" borderId="0" applyAlignment="1" pivotButton="0" quotePrefix="0" xfId="0">
      <alignment horizontal="center" vertical="center" wrapText="1"/>
    </xf>
    <xf numFmtId="164" fontId="9" fillId="3" borderId="0" applyAlignment="1" pivotButton="0" quotePrefix="0" xfId="0">
      <alignment horizontal="center" vertical="center" wrapText="1"/>
    </xf>
    <xf numFmtId="1" fontId="2" fillId="3" borderId="0" applyAlignment="1" pivotButton="0" quotePrefix="0" xfId="0">
      <alignment horizontal="center" vertical="center"/>
    </xf>
    <xf numFmtId="1" fontId="7" fillId="4" borderId="0" applyAlignment="1" pivotButton="0" quotePrefix="0" xfId="0">
      <alignment horizontal="center" vertical="center" wrapText="1"/>
    </xf>
    <xf numFmtId="21" fontId="7" fillId="4" borderId="0" applyAlignment="1" pivotButton="0" quotePrefix="0" xfId="0">
      <alignment horizontal="center" vertical="center" wrapText="1"/>
    </xf>
    <xf numFmtId="164" fontId="7" fillId="4" borderId="0" applyAlignment="1" pivotButton="0" quotePrefix="0" xfId="0">
      <alignment horizontal="center" vertical="center" wrapText="1"/>
    </xf>
    <xf numFmtId="1" fontId="8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 wrapText="1"/>
    </xf>
    <xf numFmtId="21" fontId="9" fillId="4" borderId="0" applyAlignment="1" pivotButton="0" quotePrefix="0" xfId="0">
      <alignment horizontal="center" vertical="center" wrapText="1"/>
    </xf>
    <xf numFmtId="1" fontId="9" fillId="4" borderId="0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1" fontId="2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1" fillId="2" borderId="2" applyAlignment="1" pivotButton="0" quotePrefix="0" xfId="0">
      <alignment horizontal="center" vertical="center" wrapText="1"/>
    </xf>
    <xf numFmtId="165" fontId="1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0" borderId="3" applyAlignment="1" pivotButton="0" quotePrefix="0" xfId="0">
      <alignment horizontal="center" vertical="center" wrapText="1"/>
    </xf>
    <xf numFmtId="166" fontId="12" fillId="0" borderId="3" applyAlignment="1" pivotButton="0" quotePrefix="0" xfId="0">
      <alignment horizontal="center" vertical="center"/>
    </xf>
    <xf numFmtId="14" fontId="12" fillId="0" borderId="3" applyAlignment="1" pivotButton="0" quotePrefix="0" xfId="0">
      <alignment horizontal="center" vertical="center" wrapText="1"/>
    </xf>
    <xf numFmtId="166" fontId="0" fillId="0" borderId="0" pivotButton="0" quotePrefix="0" xfId="0"/>
    <xf numFmtId="0" fontId="6" fillId="2" borderId="1" applyAlignment="1" pivotButton="0" quotePrefix="1" xfId="0">
      <alignment horizontal="center" vertical="center"/>
    </xf>
    <xf numFmtId="165" fontId="0" fillId="0" borderId="0" applyAlignment="1" pivotButton="0" quotePrefix="0" xfId="0">
      <alignment horizontal="center"/>
    </xf>
    <xf numFmtId="165" fontId="11" fillId="2" borderId="2" applyAlignment="1" pivotButton="0" quotePrefix="0" xfId="0">
      <alignment horizontal="center" vertical="center" wrapText="1"/>
    </xf>
    <xf numFmtId="166" fontId="12" fillId="0" borderId="3" applyAlignment="1" pivotButton="0" quotePrefix="0" xfId="0">
      <alignment horizontal="center" vertical="center"/>
    </xf>
    <xf numFmtId="166" fontId="0" fillId="0" borderId="0" pivotButton="0" quotePrefix="0" xfId="0"/>
    <xf numFmtId="164" fontId="7" fillId="3" borderId="0" applyAlignment="1" pivotButton="0" quotePrefix="0" xfId="0">
      <alignment horizontal="center" vertical="center" wrapText="1"/>
    </xf>
    <xf numFmtId="164" fontId="9" fillId="3" borderId="0" applyAlignment="1" pivotButton="0" quotePrefix="0" xfId="0">
      <alignment horizontal="center" vertical="center" wrapText="1"/>
    </xf>
    <xf numFmtId="164" fontId="7" fillId="4" borderId="0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/>
    </xf>
    <xf numFmtId="0" fontId="34" fillId="36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36" fillId="37" borderId="0" applyAlignment="1" pivotButton="0" quotePrefix="0" xfId="0">
      <alignment horizontal="left" vertical="center" wrapText="1"/>
    </xf>
    <xf numFmtId="0" fontId="37" fillId="38" borderId="2" applyAlignment="1" pivotButton="0" quotePrefix="0" xfId="0">
      <alignment horizontal="center" vertical="center" wrapText="1"/>
    </xf>
    <xf numFmtId="165" fontId="37" fillId="38" borderId="2" applyAlignment="1" pivotButton="0" quotePrefix="0" xfId="0">
      <alignment horizontal="center" vertical="center" wrapText="1"/>
    </xf>
    <xf numFmtId="0" fontId="37" fillId="38" borderId="0" applyAlignment="1" pivotButton="0" quotePrefix="0" xfId="0">
      <alignment horizontal="center" vertical="center" wrapText="1"/>
    </xf>
    <xf numFmtId="0" fontId="37" fillId="38" borderId="0" pivotButton="0" quotePrefix="0" xfId="0"/>
    <xf numFmtId="0" fontId="37" fillId="38" borderId="1" applyAlignment="1" pivotButton="0" quotePrefix="0" xfId="0">
      <alignment horizontal="center" vertical="center" wrapText="1"/>
    </xf>
    <xf numFmtId="0" fontId="35" fillId="39" borderId="2" pivotButton="0" quotePrefix="0" xfId="0"/>
    <xf numFmtId="0" fontId="35" fillId="39" borderId="0" applyAlignment="1" pivotButton="0" quotePrefix="0" xfId="0">
      <alignment horizontal="center" vertical="center" wrapText="1"/>
    </xf>
    <xf numFmtId="0" fontId="35" fillId="39" borderId="1" pivotButton="0" quotePrefix="0" xfId="0"/>
    <xf numFmtId="0" fontId="38" fillId="38" borderId="1" applyAlignment="1" pivotButton="0" quotePrefix="0" xfId="0">
      <alignment horizontal="center" vertical="center" wrapText="1"/>
    </xf>
    <xf numFmtId="0" fontId="38" fillId="38" borderId="0" applyAlignment="1" pivotButton="0" quotePrefix="0" xfId="0">
      <alignment horizontal="center" vertical="center" wrapText="1"/>
    </xf>
    <xf numFmtId="0" fontId="38" fillId="38" borderId="0" pivotButton="0" quotePrefix="0" xfId="0"/>
    <xf numFmtId="0" fontId="38" fillId="38" borderId="1" applyAlignment="1" pivotButton="0" quotePrefix="1" xfId="0">
      <alignment horizontal="center" vertical="center"/>
    </xf>
    <xf numFmtId="0" fontId="34" fillId="38" borderId="0" applyAlignment="1" pivotButton="0" quotePrefix="0" xfId="0">
      <alignment horizontal="left" vertical="center" wrapText="1"/>
    </xf>
    <xf numFmtId="0" fontId="0" fillId="38" borderId="0" pivotButton="0" quotePrefix="0" xfId="0"/>
    <xf numFmtId="0" fontId="39" fillId="4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2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3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4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5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6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7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8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comments/comment9.xml><?xml version="1.0" encoding="utf-8"?>
<comments xmlns="http://schemas.openxmlformats.org/spreadsheetml/2006/main">
  <authors>
    <author>AI</author>
  </authors>
  <commentList>
    <comment ref="A90" authorId="0" shapeId="0">
      <text>
        <t>f054(约05:29) 补全字幕(用户2026-10-12确认): 申铭赫近投+1，张峻豪攻板+1，近投+1，王楚珹防板+1</t>
      </text>
    </comment>
    <comment ref="A91" authorId="0" shapeId="0">
      <text>
        <t>f054(约05:29) 攻板后补篮再投1次不中(近投+1,用户确认); 原字幕漏写本次出手</t>
      </text>
    </comment>
    <comment ref="A168" authorId="0" shapeId="0">
      <text>
        <t>f099(约10:34) 补全字幕(用户2026-10-12确认): 蔡耀武近投+1，赵沐霖攻板+1，近投+1，许馨墨防板+1</t>
      </text>
    </comment>
    <comment ref="A169" authorId="0" shapeId="0">
      <text>
        <t>f099(约10:34) 攻板后补篮再投1次不中(近投+1,用户确认); 原字幕漏写本次出手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61"/>
  <sheetViews>
    <sheetView showGridLines="0" tabSelected="1" workbookViewId="0">
      <pane ySplit="2" topLeftCell="A3" activePane="bottomLeft" state="frozen"/>
      <selection activeCell="A1" sqref="A1"/>
      <selection pane="bottomLeft" activeCell="L13" sqref="L13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Z23" sqref="Z23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SUMPRODUCT(COUNTIF($A$4:$A$9,剪辑记录!$A$3:$A$313))</f>
        <v/>
      </c>
      <c r="C3" s="10">
        <f>SUMPRODUCT(COUNTIF($A$4:$A$9,剪辑记录!$A$3:$A$313),剪辑记录!$C$3:$C$313)-SUMPRODUCT(COUNTIF($A$4:$A$9,剪辑记录!$A$3:$A$313),剪辑记录!$B$3:$B$313)</f>
        <v/>
      </c>
      <c r="D3" s="11">
        <f>SUMPRODUCT(COUNTIF($A$4:$A$9,剪辑记录!$A$3:$A$313),剪辑记录!D$3:D$313)</f>
        <v/>
      </c>
      <c r="E3" s="11">
        <f>SUMPRODUCT(COUNTIF($A$4:$A$9,剪辑记录!$A$3:$A$313),剪辑记录!E$3:E$313)</f>
        <v/>
      </c>
      <c r="F3" s="11">
        <f>SUMPRODUCT(COUNTIF($A$4:$A$9,剪辑记录!$A$3:$A$313),剪辑记录!F$3:F$313)</f>
        <v/>
      </c>
      <c r="G3" s="43">
        <f>IF(D3=0,0,ROUND(F3/(D3*2),3))</f>
        <v/>
      </c>
      <c r="H3" s="11">
        <f>SUMPRODUCT(COUNTIF($A$4:$A$9,剪辑记录!$A$3:$A$313),剪辑记录!G$3:G$313)</f>
        <v/>
      </c>
      <c r="I3" s="11">
        <f>SUMPRODUCT(COUNTIF($A$4:$A$9,剪辑记录!$A$3:$A$313),剪辑记录!H$3:H$313)</f>
        <v/>
      </c>
      <c r="J3" s="11">
        <f>SUMPRODUCT(COUNTIF($A$4:$A$9,剪辑记录!$A$3:$A$313),剪辑记录!I$3:I$313)</f>
        <v/>
      </c>
      <c r="K3" s="43">
        <f>IF(H3=0,0,ROUND(J3/(H3*2),3))</f>
        <v/>
      </c>
      <c r="L3" s="11">
        <f>SUMPRODUCT(COUNTIF($A$4:$A$9,剪辑记录!$A$3:$A$313),剪辑记录!J$3:J$313)</f>
        <v/>
      </c>
      <c r="M3" s="11">
        <f>SUMPRODUCT(COUNTIF($A$4:$A$9,剪辑记录!$A$3:$A$313),剪辑记录!K$3:K$313)</f>
        <v/>
      </c>
      <c r="N3" s="11">
        <f>SUMPRODUCT(COUNTIF($A$4:$A$9,剪辑记录!$A$3:$A$313),剪辑记录!L$3:L$313)</f>
        <v/>
      </c>
      <c r="O3" s="43">
        <f>IF(L3=0,0,ROUND(N3/(L3*3),3))</f>
        <v/>
      </c>
      <c r="P3" s="11">
        <f>SUMPRODUCT(COUNTIF($A$4:$A$9,剪辑记录!$A$3:$A$313),剪辑记录!M$3:M$313)</f>
        <v/>
      </c>
      <c r="Q3" s="11">
        <f>SUMPRODUCT(COUNTIF($A$4:$A$9,剪辑记录!$A$3:$A$313),剪辑记录!N$3:N$313)</f>
        <v/>
      </c>
      <c r="R3" s="11">
        <f>SUMPRODUCT(COUNTIF($A$4:$A$9,剪辑记录!$A$3:$A$313),剪辑记录!O$3:O$313)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SUMPRODUCT(COUNTIF($A$4:$A$9,剪辑记录!$A$3:$A$313),剪辑记录!S$3:S$313)</f>
        <v/>
      </c>
      <c r="Y3" s="11">
        <f>SUMPRODUCT(COUNTIF($A$4:$A$9,剪辑记录!$A$3:$A$313),剪辑记录!T$3:T$313)</f>
        <v/>
      </c>
      <c r="Z3" s="11">
        <f>X3+Y3</f>
        <v/>
      </c>
      <c r="AA3" s="11">
        <f>SUMPRODUCT(COUNTIF($A$4:$A$9,剪辑记录!$A$3:$A$313),剪辑记录!V$3:V$313)</f>
        <v/>
      </c>
      <c r="AB3" s="11">
        <f>SUMPRODUCT(COUNTIF($A$4:$A$9,剪辑记录!$A$3:$A$313),剪辑记录!W$3:W$313)</f>
        <v/>
      </c>
      <c r="AC3" s="11">
        <f>SUMPRODUCT(COUNTIF($A$4:$A$9,剪辑记录!$A$3:$A$313),剪辑记录!X$3:X$313)</f>
        <v/>
      </c>
      <c r="AD3" s="13" t="n"/>
    </row>
    <row r="4" ht="22.5" customHeight="1">
      <c r="A4" s="14" t="inlineStr">
        <is>
          <t>陈赞安</t>
        </is>
      </c>
      <c r="B4" s="14">
        <f>COUNTIF(剪辑记录!$A$3:$A$313,A4)</f>
        <v/>
      </c>
      <c r="C4" s="15">
        <f>SUMIF(剪辑记录!$A$3:$A$313,A4,剪辑记录!$C$3:$C$313)-SUMIF(剪辑记录!$A$3:$A$313,A4,剪辑记录!$B$3:$B$313)</f>
        <v/>
      </c>
      <c r="D4" s="16">
        <f>SUMIF(剪辑记录!$A$3:$A$313,A4,剪辑记录!D$3:D$313)</f>
        <v/>
      </c>
      <c r="E4" s="16">
        <f>SUMIF(剪辑记录!$A$3:$A$313,A4,剪辑记录!E$3:E$313)</f>
        <v/>
      </c>
      <c r="F4" s="16">
        <f>SUMIF(剪辑记录!$A$3:$A$313,A4,剪辑记录!F$3:F$313)</f>
        <v/>
      </c>
      <c r="G4" s="44">
        <f>IF(D4=0,0,ROUND(F4/(D4*2),3))</f>
        <v/>
      </c>
      <c r="H4" s="16">
        <f>SUMIF(剪辑记录!$A$3:$A$313,A4,剪辑记录!G$3:G$313)</f>
        <v/>
      </c>
      <c r="I4" s="16">
        <f>SUMIF(剪辑记录!$A$3:$A$313,A4,剪辑记录!H$3:H$313)</f>
        <v/>
      </c>
      <c r="J4" s="16">
        <f>SUMIF(剪辑记录!$A$3:$A$313,A4,剪辑记录!I$3:I$313)</f>
        <v/>
      </c>
      <c r="K4" s="44">
        <f>IF(H4=0,0,ROUND(J4/(H4*2),3))</f>
        <v/>
      </c>
      <c r="L4" s="16">
        <f>SUMIF(剪辑记录!$A$3:$A$313,A4,剪辑记录!J$3:J$313)</f>
        <v/>
      </c>
      <c r="M4" s="16">
        <f>SUMIF(剪辑记录!$A$3:$A$313,A4,剪辑记录!K$3:K$313)</f>
        <v/>
      </c>
      <c r="N4" s="16">
        <f>SUMIF(剪辑记录!$A$3:$A$313,A4,剪辑记录!L$3:L$313)</f>
        <v/>
      </c>
      <c r="O4" s="44">
        <f>IF(L4=0,0,ROUND(N4/(L4*3),3))</f>
        <v/>
      </c>
      <c r="P4" s="16">
        <f>SUMIF(剪辑记录!$A$3:$A$313,A4,剪辑记录!M$3:M$313)</f>
        <v/>
      </c>
      <c r="Q4" s="16">
        <f>SUMIF(剪辑记录!$A$3:$A$313,A4,剪辑记录!N$3:N$313)</f>
        <v/>
      </c>
      <c r="R4" s="16">
        <f>SUMIF(剪辑记录!$A$3:$A$313,A4,剪辑记录!O$3:O$313)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SUMIF(剪辑记录!$A$3:$A$313,A4,剪辑记录!S$3:S$313)</f>
        <v/>
      </c>
      <c r="Y4" s="16">
        <f>SUMIF(剪辑记录!$A$3:$A$313,A4,剪辑记录!T$3:T$313)</f>
        <v/>
      </c>
      <c r="Z4" s="16">
        <f>X4+Y4</f>
        <v/>
      </c>
      <c r="AA4" s="16">
        <f>SUMIF(剪辑记录!$A$3:$A$313,A4,剪辑记录!V$3:V$313)</f>
        <v/>
      </c>
      <c r="AB4" s="16">
        <f>SUMIF(剪辑记录!$A$3:$A$313,A4,剪辑记录!W$3:W$313)</f>
        <v/>
      </c>
      <c r="AC4" s="16">
        <f>SUMIF(剪辑记录!$A$3:$A$313,A4,剪辑记录!X$3:X$313)</f>
        <v/>
      </c>
      <c r="AD4" s="18" t="n"/>
    </row>
    <row r="5" ht="22.5" customHeight="1">
      <c r="A5" s="14" t="inlineStr">
        <is>
          <t>张绪然</t>
        </is>
      </c>
      <c r="B5" s="14">
        <f>COUNTIF(剪辑记录!$A$3:$A$313,A5)</f>
        <v/>
      </c>
      <c r="C5" s="15">
        <f>SUMIF(剪辑记录!$A$3:$A$313,A5,剪辑记录!$C$3:$C$313)-SUMIF(剪辑记录!$A$3:$A$313,A5,剪辑记录!$B$3:$B$313)</f>
        <v/>
      </c>
      <c r="D5" s="16">
        <f>SUMIF(剪辑记录!$A$3:$A$313,A5,剪辑记录!D$3:D$313)</f>
        <v/>
      </c>
      <c r="E5" s="16">
        <f>SUMIF(剪辑记录!$A$3:$A$313,A5,剪辑记录!E$3:E$313)</f>
        <v/>
      </c>
      <c r="F5" s="16">
        <f>SUMIF(剪辑记录!$A$3:$A$313,A5,剪辑记录!F$3:F$313)</f>
        <v/>
      </c>
      <c r="G5" s="44">
        <f>IF(D5=0,0,ROUND(F5/(D5*2),3))</f>
        <v/>
      </c>
      <c r="H5" s="16">
        <f>SUMIF(剪辑记录!$A$3:$A$313,A5,剪辑记录!G$3:G$313)</f>
        <v/>
      </c>
      <c r="I5" s="16">
        <f>SUMIF(剪辑记录!$A$3:$A$313,A5,剪辑记录!H$3:H$313)</f>
        <v/>
      </c>
      <c r="J5" s="16">
        <f>SUMIF(剪辑记录!$A$3:$A$313,A5,剪辑记录!I$3:I$313)</f>
        <v/>
      </c>
      <c r="K5" s="44">
        <f>IF(H5=0,0,ROUND(J5/(H5*2),3))</f>
        <v/>
      </c>
      <c r="L5" s="16">
        <f>SUMIF(剪辑记录!$A$3:$A$313,A5,剪辑记录!J$3:J$313)</f>
        <v/>
      </c>
      <c r="M5" s="16">
        <f>SUMIF(剪辑记录!$A$3:$A$313,A5,剪辑记录!K$3:K$313)</f>
        <v/>
      </c>
      <c r="N5" s="16">
        <f>SUMIF(剪辑记录!$A$3:$A$313,A5,剪辑记录!L$3:L$313)</f>
        <v/>
      </c>
      <c r="O5" s="44">
        <f>IF(L5=0,0,ROUND(N5/(L5*3),3))</f>
        <v/>
      </c>
      <c r="P5" s="16">
        <f>SUMIF(剪辑记录!$A$3:$A$313,A5,剪辑记录!M$3:M$313)</f>
        <v/>
      </c>
      <c r="Q5" s="16">
        <f>SUMIF(剪辑记录!$A$3:$A$313,A5,剪辑记录!N$3:N$313)</f>
        <v/>
      </c>
      <c r="R5" s="16">
        <f>SUMIF(剪辑记录!$A$3:$A$313,A5,剪辑记录!O$3:O$313)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SUMIF(剪辑记录!$A$3:$A$313,A5,剪辑记录!S$3:S$313)</f>
        <v/>
      </c>
      <c r="Y5" s="16">
        <f>SUMIF(剪辑记录!$A$3:$A$313,A5,剪辑记录!T$3:T$313)</f>
        <v/>
      </c>
      <c r="Z5" s="16">
        <f>X5+Y5</f>
        <v/>
      </c>
      <c r="AA5" s="16">
        <f>SUMIF(剪辑记录!$A$3:$A$313,A5,剪辑记录!V$3:V$313)</f>
        <v/>
      </c>
      <c r="AB5" s="16">
        <f>SUMIF(剪辑记录!$A$3:$A$313,A5,剪辑记录!W$3:W$313)</f>
        <v/>
      </c>
      <c r="AC5" s="16">
        <f>SUMIF(剪辑记录!$A$3:$A$313,A5,剪辑记录!X$3:X$313)</f>
        <v/>
      </c>
      <c r="AD5" s="18" t="n"/>
    </row>
    <row r="6" ht="22.5" customHeight="1">
      <c r="A6" s="14" t="inlineStr">
        <is>
          <t>雷奕梵</t>
        </is>
      </c>
      <c r="B6" s="14">
        <f>COUNTIF(剪辑记录!$A$3:$A$313,A6)</f>
        <v/>
      </c>
      <c r="C6" s="15">
        <f>SUMIF(剪辑记录!$A$3:$A$313,A6,剪辑记录!$C$3:$C$313)-SUMIF(剪辑记录!$A$3:$A$313,A6,剪辑记录!$B$3:$B$313)</f>
        <v/>
      </c>
      <c r="D6" s="16">
        <f>SUMIF(剪辑记录!$A$3:$A$313,A6,剪辑记录!D$3:D$313)</f>
        <v/>
      </c>
      <c r="E6" s="16">
        <f>SUMIF(剪辑记录!$A$3:$A$313,A6,剪辑记录!E$3:E$313)</f>
        <v/>
      </c>
      <c r="F6" s="16">
        <f>SUMIF(剪辑记录!$A$3:$A$313,A6,剪辑记录!F$3:F$313)</f>
        <v/>
      </c>
      <c r="G6" s="44">
        <f>IF(D6=0,0,ROUND(F6/(D6*2),3))</f>
        <v/>
      </c>
      <c r="H6" s="16">
        <f>SUMIF(剪辑记录!$A$3:$A$313,A6,剪辑记录!G$3:G$313)</f>
        <v/>
      </c>
      <c r="I6" s="16">
        <f>SUMIF(剪辑记录!$A$3:$A$313,A6,剪辑记录!H$3:H$313)</f>
        <v/>
      </c>
      <c r="J6" s="16">
        <f>SUMIF(剪辑记录!$A$3:$A$313,A6,剪辑记录!I$3:I$313)</f>
        <v/>
      </c>
      <c r="K6" s="44">
        <f>IF(H6=0,0,ROUND(J6/(H6*2),3))</f>
        <v/>
      </c>
      <c r="L6" s="16">
        <f>SUMIF(剪辑记录!$A$3:$A$313,A6,剪辑记录!J$3:J$313)</f>
        <v/>
      </c>
      <c r="M6" s="16">
        <f>SUMIF(剪辑记录!$A$3:$A$313,A6,剪辑记录!K$3:K$313)</f>
        <v/>
      </c>
      <c r="N6" s="16">
        <f>SUMIF(剪辑记录!$A$3:$A$313,A6,剪辑记录!L$3:L$313)</f>
        <v/>
      </c>
      <c r="O6" s="44">
        <f>IF(L6=0,0,ROUND(N6/(L6*3),3))</f>
        <v/>
      </c>
      <c r="P6" s="16">
        <f>SUMIF(剪辑记录!$A$3:$A$313,A6,剪辑记录!M$3:M$313)</f>
        <v/>
      </c>
      <c r="Q6" s="16">
        <f>SUMIF(剪辑记录!$A$3:$A$313,A6,剪辑记录!N$3:N$313)</f>
        <v/>
      </c>
      <c r="R6" s="16">
        <f>SUMIF(剪辑记录!$A$3:$A$313,A6,剪辑记录!O$3:O$313)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SUMIF(剪辑记录!$A$3:$A$313,A6,剪辑记录!S$3:S$313)</f>
        <v/>
      </c>
      <c r="Y6" s="16">
        <f>SUMIF(剪辑记录!$A$3:$A$313,A6,剪辑记录!T$3:T$313)</f>
        <v/>
      </c>
      <c r="Z6" s="16">
        <f>X6+Y6</f>
        <v/>
      </c>
      <c r="AA6" s="16">
        <f>SUMIF(剪辑记录!$A$3:$A$313,A6,剪辑记录!V$3:V$313)</f>
        <v/>
      </c>
      <c r="AB6" s="16">
        <f>SUMIF(剪辑记录!$A$3:$A$313,A6,剪辑记录!W$3:W$313)</f>
        <v/>
      </c>
      <c r="AC6" s="16">
        <f>SUMIF(剪辑记录!$A$3:$A$313,A6,剪辑记录!X$3:X$313)</f>
        <v/>
      </c>
      <c r="AD6" s="18" t="n"/>
    </row>
    <row r="7" ht="22.5" customHeight="1">
      <c r="A7" s="14" t="inlineStr">
        <is>
          <t>洪浩哲</t>
        </is>
      </c>
      <c r="B7" s="14">
        <f>COUNTIF(剪辑记录!$A$3:$A$313,A7)</f>
        <v/>
      </c>
      <c r="C7" s="15">
        <f>SUMIF(剪辑记录!$A$3:$A$313,A7,剪辑记录!$C$3:$C$313)-SUMIF(剪辑记录!$A$3:$A$313,A7,剪辑记录!$B$3:$B$313)</f>
        <v/>
      </c>
      <c r="D7" s="16">
        <f>SUMIF(剪辑记录!$A$3:$A$313,A7,剪辑记录!D$3:D$313)</f>
        <v/>
      </c>
      <c r="E7" s="16">
        <f>SUMIF(剪辑记录!$A$3:$A$313,A7,剪辑记录!E$3:E$313)</f>
        <v/>
      </c>
      <c r="F7" s="16">
        <f>SUMIF(剪辑记录!$A$3:$A$313,A7,剪辑记录!F$3:F$313)</f>
        <v/>
      </c>
      <c r="G7" s="44">
        <f>IF(D7=0,0,ROUND(F7/(D7*2),3))</f>
        <v/>
      </c>
      <c r="H7" s="16">
        <f>SUMIF(剪辑记录!$A$3:$A$313,A7,剪辑记录!G$3:G$313)</f>
        <v/>
      </c>
      <c r="I7" s="16">
        <f>SUMIF(剪辑记录!$A$3:$A$313,A7,剪辑记录!H$3:H$313)</f>
        <v/>
      </c>
      <c r="J7" s="16">
        <f>SUMIF(剪辑记录!$A$3:$A$313,A7,剪辑记录!I$3:I$313)</f>
        <v/>
      </c>
      <c r="K7" s="44">
        <f>IF(H7=0,0,ROUND(J7/(H7*2),3))</f>
        <v/>
      </c>
      <c r="L7" s="16">
        <f>SUMIF(剪辑记录!$A$3:$A$313,A7,剪辑记录!J$3:J$313)</f>
        <v/>
      </c>
      <c r="M7" s="16">
        <f>SUMIF(剪辑记录!$A$3:$A$313,A7,剪辑记录!K$3:K$313)</f>
        <v/>
      </c>
      <c r="N7" s="16">
        <f>SUMIF(剪辑记录!$A$3:$A$313,A7,剪辑记录!L$3:L$313)</f>
        <v/>
      </c>
      <c r="O7" s="44">
        <f>IF(L7=0,0,ROUND(N7/(L7*3),3))</f>
        <v/>
      </c>
      <c r="P7" s="16">
        <f>SUMIF(剪辑记录!$A$3:$A$313,A7,剪辑记录!M$3:M$313)</f>
        <v/>
      </c>
      <c r="Q7" s="16">
        <f>SUMIF(剪辑记录!$A$3:$A$313,A7,剪辑记录!N$3:N$313)</f>
        <v/>
      </c>
      <c r="R7" s="16">
        <f>SUMIF(剪辑记录!$A$3:$A$313,A7,剪辑记录!O$3:O$313)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SUMIF(剪辑记录!$A$3:$A$313,A7,剪辑记录!S$3:S$313)</f>
        <v/>
      </c>
      <c r="Y7" s="16">
        <f>SUMIF(剪辑记录!$A$3:$A$313,A7,剪辑记录!T$3:T$313)</f>
        <v/>
      </c>
      <c r="Z7" s="16">
        <f>X7+Y7</f>
        <v/>
      </c>
      <c r="AA7" s="16">
        <f>SUMIF(剪辑记录!$A$3:$A$313,A7,剪辑记录!V$3:V$313)</f>
        <v/>
      </c>
      <c r="AB7" s="16">
        <f>SUMIF(剪辑记录!$A$3:$A$313,A7,剪辑记录!W$3:W$313)</f>
        <v/>
      </c>
      <c r="AC7" s="16">
        <f>SUMIF(剪辑记录!$A$3:$A$313,A7,剪辑记录!X$3:X$313)</f>
        <v/>
      </c>
      <c r="AD7" s="18" t="n"/>
    </row>
    <row r="8" ht="22.5" customHeight="1">
      <c r="A8" s="14" t="inlineStr">
        <is>
          <t>刘炎昊</t>
        </is>
      </c>
      <c r="B8" s="14">
        <f>COUNTIF(剪辑记录!$A$3:$A$313,A8)</f>
        <v/>
      </c>
      <c r="C8" s="15">
        <f>SUMIF(剪辑记录!$A$3:$A$313,A8,剪辑记录!$C$3:$C$313)-SUMIF(剪辑记录!$A$3:$A$313,A8,剪辑记录!$B$3:$B$313)</f>
        <v/>
      </c>
      <c r="D8" s="16">
        <f>SUMIF(剪辑记录!$A$3:$A$313,A8,剪辑记录!D$3:D$313)</f>
        <v/>
      </c>
      <c r="E8" s="16">
        <f>SUMIF(剪辑记录!$A$3:$A$313,A8,剪辑记录!E$3:E$313)</f>
        <v/>
      </c>
      <c r="F8" s="16">
        <f>SUMIF(剪辑记录!$A$3:$A$313,A8,剪辑记录!F$3:F$313)</f>
        <v/>
      </c>
      <c r="G8" s="44">
        <f>IF(D8=0,0,ROUND(F8/(D8*2),3))</f>
        <v/>
      </c>
      <c r="H8" s="16">
        <f>SUMIF(剪辑记录!$A$3:$A$313,A8,剪辑记录!G$3:G$313)</f>
        <v/>
      </c>
      <c r="I8" s="16">
        <f>SUMIF(剪辑记录!$A$3:$A$313,A8,剪辑记录!H$3:H$313)</f>
        <v/>
      </c>
      <c r="J8" s="16">
        <f>SUMIF(剪辑记录!$A$3:$A$313,A8,剪辑记录!I$3:I$313)</f>
        <v/>
      </c>
      <c r="K8" s="44">
        <f>IF(H8=0,0,ROUND(J8/(H8*2),3))</f>
        <v/>
      </c>
      <c r="L8" s="16">
        <f>SUMIF(剪辑记录!$A$3:$A$313,A8,剪辑记录!J$3:J$313)</f>
        <v/>
      </c>
      <c r="M8" s="16">
        <f>SUMIF(剪辑记录!$A$3:$A$313,A8,剪辑记录!K$3:K$313)</f>
        <v/>
      </c>
      <c r="N8" s="16">
        <f>SUMIF(剪辑记录!$A$3:$A$313,A8,剪辑记录!L$3:L$313)</f>
        <v/>
      </c>
      <c r="O8" s="44">
        <f>IF(L8=0,0,ROUND(N8/(L8*3),3))</f>
        <v/>
      </c>
      <c r="P8" s="16">
        <f>SUMIF(剪辑记录!$A$3:$A$313,A8,剪辑记录!M$3:M$313)</f>
        <v/>
      </c>
      <c r="Q8" s="16">
        <f>SUMIF(剪辑记录!$A$3:$A$313,A8,剪辑记录!N$3:N$313)</f>
        <v/>
      </c>
      <c r="R8" s="16">
        <f>SUMIF(剪辑记录!$A$3:$A$313,A8,剪辑记录!O$3:O$313)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SUMIF(剪辑记录!$A$3:$A$313,A8,剪辑记录!S$3:S$313)</f>
        <v/>
      </c>
      <c r="Y8" s="16">
        <f>SUMIF(剪辑记录!$A$3:$A$313,A8,剪辑记录!T$3:T$313)</f>
        <v/>
      </c>
      <c r="Z8" s="16">
        <f>X8+Y8</f>
        <v/>
      </c>
      <c r="AA8" s="16">
        <f>SUMIF(剪辑记录!$A$3:$A$313,A8,剪辑记录!V$3:V$313)</f>
        <v/>
      </c>
      <c r="AB8" s="16">
        <f>SUMIF(剪辑记录!$A$3:$A$313,A8,剪辑记录!W$3:W$313)</f>
        <v/>
      </c>
      <c r="AC8" s="16">
        <f>SUMIF(剪辑记录!$A$3:$A$313,A8,剪辑记录!X$3:X$313)</f>
        <v/>
      </c>
      <c r="AD8" s="18" t="n"/>
    </row>
    <row r="9" ht="22.5" customHeight="1">
      <c r="A9" s="14" t="inlineStr">
        <is>
          <t>施柏宇</t>
        </is>
      </c>
      <c r="B9" s="14">
        <f>COUNTIF(剪辑记录!$A$3:$A$313,A9)</f>
        <v/>
      </c>
      <c r="C9" s="15">
        <f>SUMIF(剪辑记录!$A$3:$A$313,A9,剪辑记录!$C$3:$C$313)-SUMIF(剪辑记录!$A$3:$A$313,A9,剪辑记录!$B$3:$B$313)</f>
        <v/>
      </c>
      <c r="D9" s="16">
        <f>SUMIF(剪辑记录!$A$3:$A$313,A9,剪辑记录!D$3:D$313)</f>
        <v/>
      </c>
      <c r="E9" s="16">
        <f>SUMIF(剪辑记录!$A$3:$A$313,A9,剪辑记录!E$3:E$313)</f>
        <v/>
      </c>
      <c r="F9" s="16">
        <f>SUMIF(剪辑记录!$A$3:$A$313,A9,剪辑记录!F$3:F$313)</f>
        <v/>
      </c>
      <c r="G9" s="44">
        <f>IF(D9=0,0,ROUND(F9/(D9*2),3))</f>
        <v/>
      </c>
      <c r="H9" s="16">
        <f>SUMIF(剪辑记录!$A$3:$A$313,A9,剪辑记录!G$3:G$313)</f>
        <v/>
      </c>
      <c r="I9" s="16">
        <f>SUMIF(剪辑记录!$A$3:$A$313,A9,剪辑记录!H$3:H$313)</f>
        <v/>
      </c>
      <c r="J9" s="16">
        <f>SUMIF(剪辑记录!$A$3:$A$313,A9,剪辑记录!I$3:I$313)</f>
        <v/>
      </c>
      <c r="K9" s="44">
        <f>IF(H9=0,0,ROUND(J9/(H9*2),3))</f>
        <v/>
      </c>
      <c r="L9" s="16">
        <f>SUMIF(剪辑记录!$A$3:$A$313,A9,剪辑记录!J$3:J$313)</f>
        <v/>
      </c>
      <c r="M9" s="16">
        <f>SUMIF(剪辑记录!$A$3:$A$313,A9,剪辑记录!K$3:K$313)</f>
        <v/>
      </c>
      <c r="N9" s="16">
        <f>SUMIF(剪辑记录!$A$3:$A$313,A9,剪辑记录!L$3:L$313)</f>
        <v/>
      </c>
      <c r="O9" s="44">
        <f>IF(L9=0,0,ROUND(N9/(L9*3),3))</f>
        <v/>
      </c>
      <c r="P9" s="16">
        <f>SUMIF(剪辑记录!$A$3:$A$313,A9,剪辑记录!M$3:M$313)</f>
        <v/>
      </c>
      <c r="Q9" s="16">
        <f>SUMIF(剪辑记录!$A$3:$A$313,A9,剪辑记录!N$3:N$313)</f>
        <v/>
      </c>
      <c r="R9" s="16">
        <f>SUMIF(剪辑记录!$A$3:$A$313,A9,剪辑记录!O$3:O$313)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SUMIF(剪辑记录!$A$3:$A$313,A9,剪辑记录!S$3:S$313)</f>
        <v/>
      </c>
      <c r="Y9" s="16">
        <f>SUMIF(剪辑记录!$A$3:$A$313,A9,剪辑记录!T$3:T$313)</f>
        <v/>
      </c>
      <c r="Z9" s="16">
        <f>X9+Y9</f>
        <v/>
      </c>
      <c r="AA9" s="16">
        <f>SUMIF(剪辑记录!$A$3:$A$313,A9,剪辑记录!V$3:V$313)</f>
        <v/>
      </c>
      <c r="AB9" s="16">
        <f>SUMIF(剪辑记录!$A$3:$A$313,A9,剪辑记录!W$3:W$313)</f>
        <v/>
      </c>
      <c r="AC9" s="16">
        <f>SUMIF(剪辑记录!$A$3:$A$313,A9,剪辑记录!X$3:X$313)</f>
        <v/>
      </c>
      <c r="AD9" s="18" t="n"/>
    </row>
    <row r="10" ht="22.5" customHeight="1">
      <c r="A10" s="14" t="inlineStr">
        <is>
          <t>A队球员2</t>
        </is>
      </c>
      <c r="B10" s="14">
        <f>COUNTIF(剪辑记录!$A$3:$A$313,A9)</f>
        <v/>
      </c>
      <c r="C10" s="15">
        <f>SUMIF(剪辑记录!$A$3:$A$313,A9,剪辑记录!$C$3:$C$313)-SUMIF(剪辑记录!$A$3:$A$313,A9,剪辑记录!$B$3:$B$313)</f>
        <v/>
      </c>
      <c r="D10" s="16">
        <f>SUMIF(剪辑记录!$A$3:$A$313,A9,剪辑记录!D$3:D$313)</f>
        <v/>
      </c>
      <c r="E10" s="16">
        <f>SUMIF(剪辑记录!$A$3:$A$313,A9,剪辑记录!E$3:E$313)</f>
        <v/>
      </c>
      <c r="F10" s="16">
        <f>SUMIF(剪辑记录!$A$3:$A$313,A9,剪辑记录!F$3:F$313)</f>
        <v/>
      </c>
      <c r="G10" s="44">
        <f>IF(D9=0,0,ROUND(F9/(D9*2),3))</f>
        <v/>
      </c>
      <c r="H10" s="16">
        <f>SUMIF(剪辑记录!$A$3:$A$313,A9,剪辑记录!G$3:G$313)</f>
        <v/>
      </c>
      <c r="I10" s="16">
        <f>SUMIF(剪辑记录!$A$3:$A$313,A9,剪辑记录!H$3:H$313)</f>
        <v/>
      </c>
      <c r="J10" s="16">
        <f>SUMIF(剪辑记录!$A$3:$A$313,A9,剪辑记录!I$3:I$313)</f>
        <v/>
      </c>
      <c r="K10" s="44">
        <f>IF(H9=0,0,ROUND(J9/(H9*2),3))</f>
        <v/>
      </c>
      <c r="L10" s="16">
        <f>SUMIF(剪辑记录!$A$3:$A$313,A9,剪辑记录!J$3:J$313)</f>
        <v/>
      </c>
      <c r="M10" s="16">
        <f>SUMIF(剪辑记录!$A$3:$A$313,A9,剪辑记录!K$3:K$313)</f>
        <v/>
      </c>
      <c r="N10" s="16">
        <f>SUMIF(剪辑记录!$A$3:$A$313,A9,剪辑记录!L$3:L$313)</f>
        <v/>
      </c>
      <c r="O10" s="44">
        <f>IF(L9=0,0,ROUND(N9/(L9*3),3))</f>
        <v/>
      </c>
      <c r="P10" s="16">
        <f>SUMIF(剪辑记录!$A$3:$A$313,A9,剪辑记录!M$3:M$313)</f>
        <v/>
      </c>
      <c r="Q10" s="16">
        <f>SUMIF(剪辑记录!$A$3:$A$313,A9,剪辑记录!N$3:N$313)</f>
        <v/>
      </c>
      <c r="R10" s="16">
        <f>SUMIF(剪辑记录!$A$3:$A$313,A9,剪辑记录!O$3:O$313)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SUMIF(剪辑记录!$A$3:$A$313,A9,剪辑记录!S$3:S$313)</f>
        <v/>
      </c>
      <c r="Y10" s="16">
        <f>SUMIF(剪辑记录!$A$3:$A$313,A9,剪辑记录!T$3:T$313)</f>
        <v/>
      </c>
      <c r="Z10" s="16">
        <f>X9+Y9</f>
        <v/>
      </c>
      <c r="AA10" s="16">
        <f>SUMIF(剪辑记录!$A$3:$A$313,A9,剪辑记录!V$3:V$313)</f>
        <v/>
      </c>
      <c r="AB10" s="16">
        <f>SUMIF(剪辑记录!$A$3:$A$313,A9,剪辑记录!W$3:W$313)</f>
        <v/>
      </c>
      <c r="AC10" s="16">
        <f>SUMIF(剪辑记录!$A$3:$A$313,A9,剪辑记录!X$3:X$313)</f>
        <v/>
      </c>
      <c r="AD10" s="18" t="n"/>
    </row>
    <row r="11" ht="22.5" customHeight="1">
      <c r="A11" s="14" t="inlineStr">
        <is>
          <t>A队球员3</t>
        </is>
      </c>
      <c r="B11" s="14">
        <f>COUNTIF(剪辑记录!$A$3:$A$313,A9)</f>
        <v/>
      </c>
      <c r="C11" s="15">
        <f>SUMIF(剪辑记录!$A$3:$A$313,A9,剪辑记录!$C$3:$C$313)-SUMIF(剪辑记录!$A$3:$A$313,A9,剪辑记录!$B$3:$B$313)</f>
        <v/>
      </c>
      <c r="D11" s="16">
        <f>SUMIF(剪辑记录!$A$3:$A$313,A9,剪辑记录!D$3:D$313)</f>
        <v/>
      </c>
      <c r="E11" s="16">
        <f>SUMIF(剪辑记录!$A$3:$A$313,A9,剪辑记录!E$3:E$313)</f>
        <v/>
      </c>
      <c r="F11" s="16">
        <f>SUMIF(剪辑记录!$A$3:$A$313,A9,剪辑记录!F$3:F$313)</f>
        <v/>
      </c>
      <c r="G11" s="44">
        <f>IF(D9=0,0,ROUND(F9/(D9*2),3))</f>
        <v/>
      </c>
      <c r="H11" s="16">
        <f>SUMIF(剪辑记录!$A$3:$A$313,A9,剪辑记录!G$3:G$313)</f>
        <v/>
      </c>
      <c r="I11" s="16">
        <f>SUMIF(剪辑记录!$A$3:$A$313,A9,剪辑记录!H$3:H$313)</f>
        <v/>
      </c>
      <c r="J11" s="16">
        <f>SUMIF(剪辑记录!$A$3:$A$313,A9,剪辑记录!I$3:I$313)</f>
        <v/>
      </c>
      <c r="K11" s="44">
        <f>IF(H9=0,0,ROUND(J9/(H9*2),3))</f>
        <v/>
      </c>
      <c r="L11" s="16">
        <f>SUMIF(剪辑记录!$A$3:$A$313,A9,剪辑记录!J$3:J$313)</f>
        <v/>
      </c>
      <c r="M11" s="16">
        <f>SUMIF(剪辑记录!$A$3:$A$313,A9,剪辑记录!K$3:K$313)</f>
        <v/>
      </c>
      <c r="N11" s="16">
        <f>SUMIF(剪辑记录!$A$3:$A$313,A9,剪辑记录!L$3:L$313)</f>
        <v/>
      </c>
      <c r="O11" s="44">
        <f>IF(L9=0,0,ROUND(N9/(L9*3),3))</f>
        <v/>
      </c>
      <c r="P11" s="16">
        <f>SUMIF(剪辑记录!$A$3:$A$313,A9,剪辑记录!M$3:M$313)</f>
        <v/>
      </c>
      <c r="Q11" s="16">
        <f>SUMIF(剪辑记录!$A$3:$A$313,A9,剪辑记录!N$3:N$313)</f>
        <v/>
      </c>
      <c r="R11" s="16">
        <f>SUMIF(剪辑记录!$A$3:$A$313,A9,剪辑记录!O$3:O$313)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SUMIF(剪辑记录!$A$3:$A$313,A9,剪辑记录!S$3:S$313)</f>
        <v/>
      </c>
      <c r="Y11" s="16">
        <f>SUMIF(剪辑记录!$A$3:$A$313,A9,剪辑记录!T$3:T$313)</f>
        <v/>
      </c>
      <c r="Z11" s="16">
        <f>X9+Y9</f>
        <v/>
      </c>
      <c r="AA11" s="16">
        <f>SUMIF(剪辑记录!$A$3:$A$313,A9,剪辑记录!V$3:V$313)</f>
        <v/>
      </c>
      <c r="AB11" s="16">
        <f>SUMIF(剪辑记录!$A$3:$A$313,A9,剪辑记录!W$3:W$313)</f>
        <v/>
      </c>
      <c r="AC11" s="16">
        <f>SUMIF(剪辑记录!$A$3:$A$313,A9,剪辑记录!X$3:X$313)</f>
        <v/>
      </c>
      <c r="AD11" s="18" t="n"/>
    </row>
    <row r="12" ht="22.5" customHeight="1">
      <c r="A12" s="14" t="inlineStr">
        <is>
          <t>A队球员4</t>
        </is>
      </c>
      <c r="B12" s="14">
        <f>COUNTIF(剪辑记录!$A$3:$A$313,A9)</f>
        <v/>
      </c>
      <c r="C12" s="15">
        <f>SUMIF(剪辑记录!$A$3:$A$313,A9,剪辑记录!$C$3:$C$313)-SUMIF(剪辑记录!$A$3:$A$313,A9,剪辑记录!$B$3:$B$313)</f>
        <v/>
      </c>
      <c r="D12" s="16">
        <f>SUMIF(剪辑记录!$A$3:$A$313,A9,剪辑记录!D$3:D$313)</f>
        <v/>
      </c>
      <c r="E12" s="16">
        <f>SUMIF(剪辑记录!$A$3:$A$313,A9,剪辑记录!E$3:E$313)</f>
        <v/>
      </c>
      <c r="F12" s="16">
        <f>SUMIF(剪辑记录!$A$3:$A$313,A9,剪辑记录!F$3:F$313)</f>
        <v/>
      </c>
      <c r="G12" s="44">
        <f>IF(D9=0,0,ROUND(F9/(D9*2),3))</f>
        <v/>
      </c>
      <c r="H12" s="16">
        <f>SUMIF(剪辑记录!$A$3:$A$313,A9,剪辑记录!G$3:G$313)</f>
        <v/>
      </c>
      <c r="I12" s="16">
        <f>SUMIF(剪辑记录!$A$3:$A$313,A9,剪辑记录!H$3:H$313)</f>
        <v/>
      </c>
      <c r="J12" s="16">
        <f>SUMIF(剪辑记录!$A$3:$A$313,A9,剪辑记录!I$3:I$313)</f>
        <v/>
      </c>
      <c r="K12" s="44">
        <f>IF(H9=0,0,ROUND(J9/(H9*2),3))</f>
        <v/>
      </c>
      <c r="L12" s="16">
        <f>SUMIF(剪辑记录!$A$3:$A$313,A9,剪辑记录!J$3:J$313)</f>
        <v/>
      </c>
      <c r="M12" s="16">
        <f>SUMIF(剪辑记录!$A$3:$A$313,A9,剪辑记录!K$3:K$313)</f>
        <v/>
      </c>
      <c r="N12" s="16">
        <f>SUMIF(剪辑记录!$A$3:$A$313,A9,剪辑记录!L$3:L$313)</f>
        <v/>
      </c>
      <c r="O12" s="44">
        <f>IF(L9=0,0,ROUND(N9/(L9*3),3))</f>
        <v/>
      </c>
      <c r="P12" s="16">
        <f>SUMIF(剪辑记录!$A$3:$A$313,A9,剪辑记录!M$3:M$313)</f>
        <v/>
      </c>
      <c r="Q12" s="16">
        <f>SUMIF(剪辑记录!$A$3:$A$313,A9,剪辑记录!N$3:N$313)</f>
        <v/>
      </c>
      <c r="R12" s="16">
        <f>SUMIF(剪辑记录!$A$3:$A$313,A9,剪辑记录!O$3:O$313)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SUMIF(剪辑记录!$A$3:$A$313,A9,剪辑记录!S$3:S$313)</f>
        <v/>
      </c>
      <c r="Y12" s="16">
        <f>SUMIF(剪辑记录!$A$3:$A$313,A9,剪辑记录!T$3:T$313)</f>
        <v/>
      </c>
      <c r="Z12" s="16">
        <f>X9+Y9</f>
        <v/>
      </c>
      <c r="AA12" s="16">
        <f>SUMIF(剪辑记录!$A$3:$A$313,A9,剪辑记录!V$3:V$313)</f>
        <v/>
      </c>
      <c r="AB12" s="16">
        <f>SUMIF(剪辑记录!$A$3:$A$313,A9,剪辑记录!W$3:W$313)</f>
        <v/>
      </c>
      <c r="AC12" s="16">
        <f>SUMIF(剪辑记录!$A$3:$A$313,A9,剪辑记录!X$3:X$313)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COUNTIF(剪辑记录!$A$3:$A$313,A9)</f>
        <v/>
      </c>
      <c r="C13" s="15">
        <f>SUMIF(剪辑记录!$A$3:$A$313,A9,剪辑记录!$C$3:$C$313)-SUMIF(剪辑记录!$A$3:$A$313,A9,剪辑记录!$B$3:$B$313)</f>
        <v/>
      </c>
      <c r="D13" s="16">
        <f>SUMIF(剪辑记录!$A$3:$A$313,A9,剪辑记录!D$3:D$313)</f>
        <v/>
      </c>
      <c r="E13" s="16">
        <f>SUMIF(剪辑记录!$A$3:$A$313,A9,剪辑记录!E$3:E$313)</f>
        <v/>
      </c>
      <c r="F13" s="16">
        <f>SUMIF(剪辑记录!$A$3:$A$313,A9,剪辑记录!F$3:F$313)</f>
        <v/>
      </c>
      <c r="G13" s="44">
        <f>IF(D9=0,0,ROUND(F9/(D9*2),3))</f>
        <v/>
      </c>
      <c r="H13" s="16">
        <f>SUMIF(剪辑记录!$A$3:$A$313,A9,剪辑记录!G$3:G$313)</f>
        <v/>
      </c>
      <c r="I13" s="16">
        <f>SUMIF(剪辑记录!$A$3:$A$313,A9,剪辑记录!H$3:H$313)</f>
        <v/>
      </c>
      <c r="J13" s="16">
        <f>SUMIF(剪辑记录!$A$3:$A$313,A9,剪辑记录!I$3:I$313)</f>
        <v/>
      </c>
      <c r="K13" s="44">
        <f>IF(H9=0,0,ROUND(J9/(H9*2),3))</f>
        <v/>
      </c>
      <c r="L13" s="16">
        <f>SUMIF(剪辑记录!$A$3:$A$313,A9,剪辑记录!J$3:J$313)</f>
        <v/>
      </c>
      <c r="M13" s="16">
        <f>SUMIF(剪辑记录!$A$3:$A$313,A9,剪辑记录!K$3:K$313)</f>
        <v/>
      </c>
      <c r="N13" s="16">
        <f>SUMIF(剪辑记录!$A$3:$A$313,A9,剪辑记录!L$3:L$313)</f>
        <v/>
      </c>
      <c r="O13" s="44">
        <f>IF(L9=0,0,ROUND(N9/(L9*3),3))</f>
        <v/>
      </c>
      <c r="P13" s="16">
        <f>SUMIF(剪辑记录!$A$3:$A$313,A9,剪辑记录!M$3:M$313)</f>
        <v/>
      </c>
      <c r="Q13" s="16">
        <f>SUMIF(剪辑记录!$A$3:$A$313,A9,剪辑记录!N$3:N$313)</f>
        <v/>
      </c>
      <c r="R13" s="16">
        <f>SUMIF(剪辑记录!$A$3:$A$313,A9,剪辑记录!O$3:O$313)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SUMIF(剪辑记录!$A$3:$A$313,A9,剪辑记录!S$3:S$313)</f>
        <v/>
      </c>
      <c r="Y13" s="16">
        <f>SUMIF(剪辑记录!$A$3:$A$313,A9,剪辑记录!T$3:T$313)</f>
        <v/>
      </c>
      <c r="Z13" s="16">
        <f>X9+Y9</f>
        <v/>
      </c>
      <c r="AA13" s="16">
        <f>SUMIF(剪辑记录!$A$3:$A$313,A9,剪辑记录!V$3:V$313)</f>
        <v/>
      </c>
      <c r="AB13" s="16">
        <f>SUMIF(剪辑记录!$A$3:$A$313,A9,剪辑记录!W$3:W$313)</f>
        <v/>
      </c>
      <c r="AC13" s="16">
        <f>SUMIF(剪辑记录!$A$3:$A$313,A9,剪辑记录!X$3:X$313)</f>
        <v/>
      </c>
      <c r="AD13" s="18" t="n"/>
    </row>
    <row r="14" ht="22.5" customHeight="1">
      <c r="A14" s="14" t="inlineStr">
        <is>
          <t>A队球员6</t>
        </is>
      </c>
      <c r="B14" s="14">
        <f>COUNTIF(剪辑记录!$A$3:$A$313,A9)</f>
        <v/>
      </c>
      <c r="C14" s="15">
        <f>SUMIF(剪辑记录!$A$3:$A$313,A9,剪辑记录!$C$3:$C$313)-SUMIF(剪辑记录!$A$3:$A$313,A9,剪辑记录!$B$3:$B$313)</f>
        <v/>
      </c>
      <c r="D14" s="16">
        <f>SUMIF(剪辑记录!$A$3:$A$313,A9,剪辑记录!D$3:D$313)</f>
        <v/>
      </c>
      <c r="E14" s="16">
        <f>SUMIF(剪辑记录!$A$3:$A$313,A9,剪辑记录!E$3:E$313)</f>
        <v/>
      </c>
      <c r="F14" s="16">
        <f>SUMIF(剪辑记录!$A$3:$A$313,A9,剪辑记录!F$3:F$313)</f>
        <v/>
      </c>
      <c r="G14" s="44">
        <f>IF(D9=0,0,ROUND(F9/(D9*2),3))</f>
        <v/>
      </c>
      <c r="H14" s="16">
        <f>SUMIF(剪辑记录!$A$3:$A$313,A9,剪辑记录!G$3:G$313)</f>
        <v/>
      </c>
      <c r="I14" s="16">
        <f>SUMIF(剪辑记录!$A$3:$A$313,A9,剪辑记录!H$3:H$313)</f>
        <v/>
      </c>
      <c r="J14" s="16">
        <f>SUMIF(剪辑记录!$A$3:$A$313,A9,剪辑记录!I$3:I$313)</f>
        <v/>
      </c>
      <c r="K14" s="44">
        <f>IF(H9=0,0,ROUND(J9/(H9*2),3))</f>
        <v/>
      </c>
      <c r="L14" s="16">
        <f>SUMIF(剪辑记录!$A$3:$A$313,A9,剪辑记录!J$3:J$313)</f>
        <v/>
      </c>
      <c r="M14" s="16">
        <f>SUMIF(剪辑记录!$A$3:$A$313,A9,剪辑记录!K$3:K$313)</f>
        <v/>
      </c>
      <c r="N14" s="16">
        <f>SUMIF(剪辑记录!$A$3:$A$313,A9,剪辑记录!L$3:L$313)</f>
        <v/>
      </c>
      <c r="O14" s="44">
        <f>IF(L9=0,0,ROUND(N9/(L9*3),3))</f>
        <v/>
      </c>
      <c r="P14" s="16">
        <f>SUMIF(剪辑记录!$A$3:$A$313,A9,剪辑记录!M$3:M$313)</f>
        <v/>
      </c>
      <c r="Q14" s="16">
        <f>SUMIF(剪辑记录!$A$3:$A$313,A9,剪辑记录!N$3:N$313)</f>
        <v/>
      </c>
      <c r="R14" s="16">
        <f>SUMIF(剪辑记录!$A$3:$A$313,A9,剪辑记录!O$3:O$313)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SUMIF(剪辑记录!$A$3:$A$313,A9,剪辑记录!S$3:S$313)</f>
        <v/>
      </c>
      <c r="Y14" s="16">
        <f>SUMIF(剪辑记录!$A$3:$A$313,A9,剪辑记录!T$3:T$313)</f>
        <v/>
      </c>
      <c r="Z14" s="16">
        <f>X9+Y9</f>
        <v/>
      </c>
      <c r="AA14" s="16">
        <f>SUMIF(剪辑记录!$A$3:$A$313,A9,剪辑记录!V$3:V$313)</f>
        <v/>
      </c>
      <c r="AB14" s="16">
        <f>SUMIF(剪辑记录!$A$3:$A$313,A9,剪辑记录!W$3:W$313)</f>
        <v/>
      </c>
      <c r="AC14" s="16">
        <f>SUMIF(剪辑记录!$A$3:$A$313,A9,剪辑记录!X$3:X$313)</f>
        <v/>
      </c>
      <c r="AD14" s="18" t="n"/>
    </row>
    <row r="15" ht="22.5" customHeight="1">
      <c r="A15" s="14" t="inlineStr">
        <is>
          <t>A队球员7</t>
        </is>
      </c>
      <c r="B15" s="14">
        <f>COUNTIF(剪辑记录!$A$3:$A$313,A9)</f>
        <v/>
      </c>
      <c r="C15" s="15">
        <f>SUMIF(剪辑记录!$A$3:$A$313,A9,剪辑记录!$C$3:$C$313)-SUMIF(剪辑记录!$A$3:$A$313,A9,剪辑记录!$B$3:$B$313)</f>
        <v/>
      </c>
      <c r="D15" s="16">
        <f>SUMIF(剪辑记录!$A$3:$A$313,A9,剪辑记录!D$3:D$313)</f>
        <v/>
      </c>
      <c r="E15" s="16">
        <f>SUMIF(剪辑记录!$A$3:$A$313,A9,剪辑记录!E$3:E$313)</f>
        <v/>
      </c>
      <c r="F15" s="16">
        <f>SUMIF(剪辑记录!$A$3:$A$313,A9,剪辑记录!F$3:F$313)</f>
        <v/>
      </c>
      <c r="G15" s="44">
        <f>IF(D9=0,0,ROUND(F9/(D9*2),3))</f>
        <v/>
      </c>
      <c r="H15" s="16">
        <f>SUMIF(剪辑记录!$A$3:$A$313,A9,剪辑记录!G$3:G$313)</f>
        <v/>
      </c>
      <c r="I15" s="16">
        <f>SUMIF(剪辑记录!$A$3:$A$313,A9,剪辑记录!H$3:H$313)</f>
        <v/>
      </c>
      <c r="J15" s="16">
        <f>SUMIF(剪辑记录!$A$3:$A$313,A9,剪辑记录!I$3:I$313)</f>
        <v/>
      </c>
      <c r="K15" s="44">
        <f>IF(H9=0,0,ROUND(J9/(H9*2),3))</f>
        <v/>
      </c>
      <c r="L15" s="16">
        <f>SUMIF(剪辑记录!$A$3:$A$313,A9,剪辑记录!J$3:J$313)</f>
        <v/>
      </c>
      <c r="M15" s="16">
        <f>SUMIF(剪辑记录!$A$3:$A$313,A9,剪辑记录!K$3:K$313)</f>
        <v/>
      </c>
      <c r="N15" s="16">
        <f>SUMIF(剪辑记录!$A$3:$A$313,A9,剪辑记录!L$3:L$313)</f>
        <v/>
      </c>
      <c r="O15" s="44">
        <f>IF(L9=0,0,ROUND(N9/(L9*3),3))</f>
        <v/>
      </c>
      <c r="P15" s="16">
        <f>SUMIF(剪辑记录!$A$3:$A$313,A9,剪辑记录!M$3:M$313)</f>
        <v/>
      </c>
      <c r="Q15" s="16">
        <f>SUMIF(剪辑记录!$A$3:$A$313,A9,剪辑记录!N$3:N$313)</f>
        <v/>
      </c>
      <c r="R15" s="16">
        <f>SUMIF(剪辑记录!$A$3:$A$313,A9,剪辑记录!O$3:O$313)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SUMIF(剪辑记录!$A$3:$A$313,A9,剪辑记录!S$3:S$313)</f>
        <v/>
      </c>
      <c r="Y15" s="16">
        <f>SUMIF(剪辑记录!$A$3:$A$313,A9,剪辑记录!T$3:T$313)</f>
        <v/>
      </c>
      <c r="Z15" s="16">
        <f>X9+Y9</f>
        <v/>
      </c>
      <c r="AA15" s="16">
        <f>SUMIF(剪辑记录!$A$3:$A$313,A9,剪辑记录!V$3:V$313)</f>
        <v/>
      </c>
      <c r="AB15" s="16">
        <f>SUMIF(剪辑记录!$A$3:$A$313,A9,剪辑记录!W$3:W$313)</f>
        <v/>
      </c>
      <c r="AC15" s="16">
        <f>SUMIF(剪辑记录!$A$3:$A$313,A9,剪辑记录!X$3:X$313)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SUMPRODUCT(COUNTIF($A$11:$A$17,剪辑记录!$A$3:$A$313))</f>
        <v/>
      </c>
      <c r="C16" s="20">
        <f>SUMPRODUCT(COUNTIF($A$11:$A$17,剪辑记录!$A$3:$A$313),剪辑记录!$C$3:$C$313)-SUMPRODUCT(COUNTIF($A$11:$A$17,剪辑记录!$A$3:$A$313),剪辑记录!$B$3:$B$313)</f>
        <v/>
      </c>
      <c r="D16" s="19">
        <f>SUMPRODUCT(COUNTIF($A$11:$A$17,剪辑记录!$A$3:$A$313),剪辑记录!D$3:D$313)</f>
        <v/>
      </c>
      <c r="E16" s="19">
        <f>SUMPRODUCT(COUNTIF($A$11:$A$17,剪辑记录!$A$3:$A$313),剪辑记录!E$3:E$313)</f>
        <v/>
      </c>
      <c r="F16" s="19">
        <f>SUMPRODUCT(COUNTIF($A$11:$A$17,剪辑记录!$A$3:$A$313),剪辑记录!F$3:F$313)</f>
        <v/>
      </c>
      <c r="G16" s="45">
        <f>IF(D10=0,0,ROUND(F10/(D10*2),3))</f>
        <v/>
      </c>
      <c r="H16" s="19">
        <f>SUMPRODUCT(COUNTIF($A$11:$A$17,剪辑记录!$A$3:$A$313),剪辑记录!G$3:G$313)</f>
        <v/>
      </c>
      <c r="I16" s="19">
        <f>SUMPRODUCT(COUNTIF($A$11:$A$17,剪辑记录!$A$3:$A$313),剪辑记录!H$3:H$313)</f>
        <v/>
      </c>
      <c r="J16" s="19">
        <f>SUMPRODUCT(COUNTIF($A$11:$A$17,剪辑记录!$A$3:$A$313),剪辑记录!I$3:I$313)</f>
        <v/>
      </c>
      <c r="K16" s="45">
        <f>IF(H10=0,0,ROUND(J10/(H10*2),3))</f>
        <v/>
      </c>
      <c r="L16" s="19">
        <f>SUMPRODUCT(COUNTIF($A$11:$A$17,剪辑记录!$A$3:$A$313),剪辑记录!J$3:J$313)</f>
        <v/>
      </c>
      <c r="M16" s="19">
        <f>SUMPRODUCT(COUNTIF($A$11:$A$17,剪辑记录!$A$3:$A$313),剪辑记录!K$3:K$313)</f>
        <v/>
      </c>
      <c r="N16" s="19">
        <f>SUMPRODUCT(COUNTIF($A$11:$A$17,剪辑记录!$A$3:$A$313),剪辑记录!L$3:L$313)</f>
        <v/>
      </c>
      <c r="O16" s="45">
        <f>IF(L10=0,0,ROUND(N10/(L10*3),3))</f>
        <v/>
      </c>
      <c r="P16" s="19">
        <f>SUMPRODUCT(COUNTIF($A$11:$A$17,剪辑记录!$A$3:$A$313),剪辑记录!M$3:M$313)</f>
        <v/>
      </c>
      <c r="Q16" s="19">
        <f>SUMPRODUCT(COUNTIF($A$11:$A$17,剪辑记录!$A$3:$A$313),剪辑记录!N$3:N$313)</f>
        <v/>
      </c>
      <c r="R16" s="19">
        <f>SUMPRODUCT(COUNTIF($A$11:$A$17,剪辑记录!$A$3:$A$313),剪辑记录!O$3:O$313)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SUMPRODUCT(COUNTIF($A$11:$A$17,剪辑记录!$A$3:$A$313),剪辑记录!S$3:S$313)</f>
        <v/>
      </c>
      <c r="Y16" s="19">
        <f>SUMPRODUCT(COUNTIF($A$11:$A$17,剪辑记录!$A$3:$A$313),剪辑记录!T$3:T$313)</f>
        <v/>
      </c>
      <c r="Z16" s="19">
        <f>X10+Y10</f>
        <v/>
      </c>
      <c r="AA16" s="19">
        <f>SUMPRODUCT(COUNTIF($A$11:$A$17,剪辑记录!$A$3:$A$313),剪辑记录!V$3:V$313)</f>
        <v/>
      </c>
      <c r="AB16" s="19">
        <f>SUMPRODUCT(COUNTIF($A$11:$A$17,剪辑记录!$A$3:$A$313),剪辑记录!W$3:W$313)</f>
        <v/>
      </c>
      <c r="AC16" s="19">
        <f>SUMPRODUCT(COUNTIF($A$11:$A$17,剪辑记录!$A$3:$A$313),剪辑记录!X$3:X$313)</f>
        <v/>
      </c>
      <c r="AD16" s="22" t="n"/>
    </row>
    <row r="17" ht="22.5" customHeight="1">
      <c r="A17" s="23" t="inlineStr">
        <is>
          <t>彭天乐</t>
        </is>
      </c>
      <c r="B17" s="23">
        <f>COUNTIF(剪辑记录!$A$3:$A$313,A11)</f>
        <v/>
      </c>
      <c r="C17" s="24">
        <f>SUMIF(剪辑记录!$A$3:$A$313,A11,剪辑记录!$C$3:$C$313)-SUMIF(剪辑记录!$A$3:$A$313,A11,剪辑记录!$B$3:$B$313)</f>
        <v/>
      </c>
      <c r="D17" s="25">
        <f>SUMIF(剪辑记录!$A$3:$A$313,A11,剪辑记录!D$3:D$313)</f>
        <v/>
      </c>
      <c r="E17" s="25">
        <f>SUMIF(剪辑记录!$A$3:$A$313,A11,剪辑记录!E$3:E$313)</f>
        <v/>
      </c>
      <c r="F17" s="25">
        <f>SUMIF(剪辑记录!$A$3:$A$313,A11,剪辑记录!F$3:F$313)</f>
        <v/>
      </c>
      <c r="G17" s="46">
        <f>IF(D11=0,0,ROUND(F11/(D11*2),3))</f>
        <v/>
      </c>
      <c r="H17" s="25">
        <f>SUMIF(剪辑记录!$A$3:$A$313,A11,剪辑记录!G$3:G$313)</f>
        <v/>
      </c>
      <c r="I17" s="25">
        <f>SUMIF(剪辑记录!$A$3:$A$313,A11,剪辑记录!H$3:H$313)</f>
        <v/>
      </c>
      <c r="J17" s="25">
        <f>SUMIF(剪辑记录!$A$3:$A$313,A11,剪辑记录!I$3:I$313)</f>
        <v/>
      </c>
      <c r="K17" s="46">
        <f>IF(H11=0,0,ROUND(J11/(H11*2),3))</f>
        <v/>
      </c>
      <c r="L17" s="25">
        <f>SUMIF(剪辑记录!$A$3:$A$313,A11,剪辑记录!J$3:J$313)</f>
        <v/>
      </c>
      <c r="M17" s="25">
        <f>SUMIF(剪辑记录!$A$3:$A$313,A11,剪辑记录!K$3:K$313)</f>
        <v/>
      </c>
      <c r="N17" s="25">
        <f>SUMIF(剪辑记录!$A$3:$A$313,A11,剪辑记录!L$3:L$313)</f>
        <v/>
      </c>
      <c r="O17" s="46">
        <f>IF(L11=0,0,ROUND(N11/(L11*3),3))</f>
        <v/>
      </c>
      <c r="P17" s="25">
        <f>SUMIF(剪辑记录!$A$3:$A$313,A11,剪辑记录!M$3:M$313)</f>
        <v/>
      </c>
      <c r="Q17" s="25">
        <f>SUMIF(剪辑记录!$A$3:$A$313,A11,剪辑记录!N$3:N$313)</f>
        <v/>
      </c>
      <c r="R17" s="25">
        <f>SUMIF(剪辑记录!$A$3:$A$313,A11,剪辑记录!O$3:O$313)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SUMIF(剪辑记录!$A$3:$A$313,A11,剪辑记录!S$3:S$313)</f>
        <v/>
      </c>
      <c r="Y17" s="25">
        <f>SUMIF(剪辑记录!$A$3:$A$313,A11,剪辑记录!T$3:T$313)</f>
        <v/>
      </c>
      <c r="Z17" s="25">
        <f>X11+Y11</f>
        <v/>
      </c>
      <c r="AA17" s="25">
        <f>SUMIF(剪辑记录!$A$3:$A$313,A11,剪辑记录!V$3:V$313)</f>
        <v/>
      </c>
      <c r="AB17" s="25">
        <f>SUMIF(剪辑记录!$A$3:$A$313,A11,剪辑记录!W$3:W$313)</f>
        <v/>
      </c>
      <c r="AC17" s="25">
        <f>SUMIF(剪辑记录!$A$3:$A$313,A11,剪辑记录!X$3:X$313)</f>
        <v/>
      </c>
      <c r="AD17" s="27" t="n"/>
    </row>
    <row r="18" ht="22.5" customHeight="1">
      <c r="A18" s="23" t="inlineStr">
        <is>
          <t>梁源益</t>
        </is>
      </c>
      <c r="B18" s="23">
        <f>COUNTIF(剪辑记录!$A$3:$A$313,A12)</f>
        <v/>
      </c>
      <c r="C18" s="24">
        <f>SUMIF(剪辑记录!$A$3:$A$313,A12,剪辑记录!$C$3:$C$313)-SUMIF(剪辑记录!$A$3:$A$313,A12,剪辑记录!$B$3:$B$313)</f>
        <v/>
      </c>
      <c r="D18" s="25">
        <f>SUMIF(剪辑记录!$A$3:$A$313,A12,剪辑记录!D$3:D$313)</f>
        <v/>
      </c>
      <c r="E18" s="25">
        <f>SUMIF(剪辑记录!$A$3:$A$313,A12,剪辑记录!E$3:E$313)</f>
        <v/>
      </c>
      <c r="F18" s="25">
        <f>SUMIF(剪辑记录!$A$3:$A$313,A12,剪辑记录!F$3:F$313)</f>
        <v/>
      </c>
      <c r="G18" s="46">
        <f>IF(D12=0,0,ROUND(F12/(D12*2),3))</f>
        <v/>
      </c>
      <c r="H18" s="25">
        <f>SUMIF(剪辑记录!$A$3:$A$313,A12,剪辑记录!G$3:G$313)</f>
        <v/>
      </c>
      <c r="I18" s="25">
        <f>SUMIF(剪辑记录!$A$3:$A$313,A12,剪辑记录!H$3:H$313)</f>
        <v/>
      </c>
      <c r="J18" s="25">
        <f>SUMIF(剪辑记录!$A$3:$A$313,A12,剪辑记录!I$3:I$313)</f>
        <v/>
      </c>
      <c r="K18" s="46">
        <f>IF(H12=0,0,ROUND(J12/(H12*2),3))</f>
        <v/>
      </c>
      <c r="L18" s="25">
        <f>SUMIF(剪辑记录!$A$3:$A$313,A12,剪辑记录!J$3:J$313)</f>
        <v/>
      </c>
      <c r="M18" s="25">
        <f>SUMIF(剪辑记录!$A$3:$A$313,A12,剪辑记录!K$3:K$313)</f>
        <v/>
      </c>
      <c r="N18" s="25">
        <f>SUMIF(剪辑记录!$A$3:$A$313,A12,剪辑记录!L$3:L$313)</f>
        <v/>
      </c>
      <c r="O18" s="46">
        <f>IF(L12=0,0,ROUND(N12/(L12*3),3))</f>
        <v/>
      </c>
      <c r="P18" s="25">
        <f>SUMIF(剪辑记录!$A$3:$A$313,A12,剪辑记录!M$3:M$313)</f>
        <v/>
      </c>
      <c r="Q18" s="25">
        <f>SUMIF(剪辑记录!$A$3:$A$313,A12,剪辑记录!N$3:N$313)</f>
        <v/>
      </c>
      <c r="R18" s="25">
        <f>SUMIF(剪辑记录!$A$3:$A$313,A12,剪辑记录!O$3:O$313)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SUMIF(剪辑记录!$A$3:$A$313,A12,剪辑记录!S$3:S$313)</f>
        <v/>
      </c>
      <c r="Y18" s="25">
        <f>SUMIF(剪辑记录!$A$3:$A$313,A12,剪辑记录!T$3:T$313)</f>
        <v/>
      </c>
      <c r="Z18" s="25">
        <f>X12+Y12</f>
        <v/>
      </c>
      <c r="AA18" s="25">
        <f>SUMIF(剪辑记录!$A$3:$A$313,A12,剪辑记录!V$3:V$313)</f>
        <v/>
      </c>
      <c r="AB18" s="25">
        <f>SUMIF(剪辑记录!$A$3:$A$313,A12,剪辑记录!W$3:W$313)</f>
        <v/>
      </c>
      <c r="AC18" s="25">
        <f>SUMIF(剪辑记录!$A$3:$A$313,A12,剪辑记录!X$3:X$313)</f>
        <v/>
      </c>
      <c r="AD18" s="27" t="n"/>
    </row>
    <row r="19" ht="22.5" customHeight="1">
      <c r="A19" s="23" t="inlineStr">
        <is>
          <t>陈惟勤</t>
        </is>
      </c>
      <c r="B19" s="23">
        <f>COUNTIF(剪辑记录!$A$3:$A$313,A13)</f>
        <v/>
      </c>
      <c r="C19" s="24">
        <f>SUMIF(剪辑记录!$A$3:$A$313,A13,剪辑记录!$C$3:$C$313)-SUMIF(剪辑记录!$A$3:$A$313,A13,剪辑记录!$B$3:$B$313)</f>
        <v/>
      </c>
      <c r="D19" s="25">
        <f>SUMIF(剪辑记录!$A$3:$A$313,A13,剪辑记录!D$3:D$313)</f>
        <v/>
      </c>
      <c r="E19" s="25">
        <f>SUMIF(剪辑记录!$A$3:$A$313,A13,剪辑记录!E$3:E$313)</f>
        <v/>
      </c>
      <c r="F19" s="25">
        <f>SUMIF(剪辑记录!$A$3:$A$313,A13,剪辑记录!F$3:F$313)</f>
        <v/>
      </c>
      <c r="G19" s="46">
        <f>IF(D13=0,0,ROUND(F13/(D13*2),3))</f>
        <v/>
      </c>
      <c r="H19" s="25">
        <f>SUMIF(剪辑记录!$A$3:$A$313,A13,剪辑记录!G$3:G$313)</f>
        <v/>
      </c>
      <c r="I19" s="25">
        <f>SUMIF(剪辑记录!$A$3:$A$313,A13,剪辑记录!H$3:H$313)</f>
        <v/>
      </c>
      <c r="J19" s="25">
        <f>SUMIF(剪辑记录!$A$3:$A$313,A13,剪辑记录!I$3:I$313)</f>
        <v/>
      </c>
      <c r="K19" s="46">
        <f>IF(H13=0,0,ROUND(J13/(H13*2),3))</f>
        <v/>
      </c>
      <c r="L19" s="25">
        <f>SUMIF(剪辑记录!$A$3:$A$313,A13,剪辑记录!J$3:J$313)</f>
        <v/>
      </c>
      <c r="M19" s="25">
        <f>SUMIF(剪辑记录!$A$3:$A$313,A13,剪辑记录!K$3:K$313)</f>
        <v/>
      </c>
      <c r="N19" s="25">
        <f>SUMIF(剪辑记录!$A$3:$A$313,A13,剪辑记录!L$3:L$313)</f>
        <v/>
      </c>
      <c r="O19" s="46">
        <f>IF(L13=0,0,ROUND(N13/(L13*3),3))</f>
        <v/>
      </c>
      <c r="P19" s="25">
        <f>SUMIF(剪辑记录!$A$3:$A$313,A13,剪辑记录!M$3:M$313)</f>
        <v/>
      </c>
      <c r="Q19" s="25">
        <f>SUMIF(剪辑记录!$A$3:$A$313,A13,剪辑记录!N$3:N$313)</f>
        <v/>
      </c>
      <c r="R19" s="25">
        <f>SUMIF(剪辑记录!$A$3:$A$313,A13,剪辑记录!O$3:O$313)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SUMIF(剪辑记录!$A$3:$A$313,A13,剪辑记录!S$3:S$313)</f>
        <v/>
      </c>
      <c r="Y19" s="25">
        <f>SUMIF(剪辑记录!$A$3:$A$313,A13,剪辑记录!T$3:T$313)</f>
        <v/>
      </c>
      <c r="Z19" s="25">
        <f>X13+Y13</f>
        <v/>
      </c>
      <c r="AA19" s="25">
        <f>SUMIF(剪辑记录!$A$3:$A$313,A13,剪辑记录!V$3:V$313)</f>
        <v/>
      </c>
      <c r="AB19" s="25">
        <f>SUMIF(剪辑记录!$A$3:$A$313,A13,剪辑记录!W$3:W$313)</f>
        <v/>
      </c>
      <c r="AC19" s="25">
        <f>SUMIF(剪辑记录!$A$3:$A$313,A13,剪辑记录!X$3:X$313)</f>
        <v/>
      </c>
      <c r="AD19" s="27" t="n"/>
    </row>
    <row r="20" ht="22.5" customHeight="1">
      <c r="A20" s="23" t="inlineStr">
        <is>
          <t>赵沐霖</t>
        </is>
      </c>
      <c r="B20" s="23">
        <f>COUNTIF(剪辑记录!$A$3:$A$313,A14)</f>
        <v/>
      </c>
      <c r="C20" s="24">
        <f>SUMIF(剪辑记录!$A$3:$A$313,A14,剪辑记录!$C$3:$C$313)-SUMIF(剪辑记录!$A$3:$A$313,A14,剪辑记录!$B$3:$B$313)</f>
        <v/>
      </c>
      <c r="D20" s="25">
        <f>SUMIF(剪辑记录!$A$3:$A$313,A14,剪辑记录!D$3:D$313)</f>
        <v/>
      </c>
      <c r="E20" s="25">
        <f>SUMIF(剪辑记录!$A$3:$A$313,A14,剪辑记录!E$3:E$313)</f>
        <v/>
      </c>
      <c r="F20" s="25">
        <f>SUMIF(剪辑记录!$A$3:$A$313,A14,剪辑记录!F$3:F$313)</f>
        <v/>
      </c>
      <c r="G20" s="46">
        <f>IF(D14=0,0,ROUND(F14/(D14*2),3))</f>
        <v/>
      </c>
      <c r="H20" s="25">
        <f>SUMIF(剪辑记录!$A$3:$A$313,A14,剪辑记录!G$3:G$313)</f>
        <v/>
      </c>
      <c r="I20" s="25">
        <f>SUMIF(剪辑记录!$A$3:$A$313,A14,剪辑记录!H$3:H$313)</f>
        <v/>
      </c>
      <c r="J20" s="25">
        <f>SUMIF(剪辑记录!$A$3:$A$313,A14,剪辑记录!I$3:I$313)</f>
        <v/>
      </c>
      <c r="K20" s="46">
        <f>IF(H14=0,0,ROUND(J14/(H14*2),3))</f>
        <v/>
      </c>
      <c r="L20" s="25">
        <f>SUMIF(剪辑记录!$A$3:$A$313,A14,剪辑记录!J$3:J$313)</f>
        <v/>
      </c>
      <c r="M20" s="25">
        <f>SUMIF(剪辑记录!$A$3:$A$313,A14,剪辑记录!K$3:K$313)</f>
        <v/>
      </c>
      <c r="N20" s="25">
        <f>SUMIF(剪辑记录!$A$3:$A$313,A14,剪辑记录!L$3:L$313)</f>
        <v/>
      </c>
      <c r="O20" s="46">
        <f>IF(L14=0,0,ROUND(N14/(L14*3),3))</f>
        <v/>
      </c>
      <c r="P20" s="25">
        <f>SUMIF(剪辑记录!$A$3:$A$313,A14,剪辑记录!M$3:M$313)</f>
        <v/>
      </c>
      <c r="Q20" s="25">
        <f>SUMIF(剪辑记录!$A$3:$A$313,A14,剪辑记录!N$3:N$313)</f>
        <v/>
      </c>
      <c r="R20" s="25">
        <f>SUMIF(剪辑记录!$A$3:$A$313,A14,剪辑记录!O$3:O$313)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SUMIF(剪辑记录!$A$3:$A$313,A14,剪辑记录!S$3:S$313)</f>
        <v/>
      </c>
      <c r="Y20" s="25">
        <f>SUMIF(剪辑记录!$A$3:$A$313,A14,剪辑记录!T$3:T$313)</f>
        <v/>
      </c>
      <c r="Z20" s="25">
        <f>X14+Y14</f>
        <v/>
      </c>
      <c r="AA20" s="25">
        <f>SUMIF(剪辑记录!$A$3:$A$313,A14,剪辑记录!V$3:V$313)</f>
        <v/>
      </c>
      <c r="AB20" s="25">
        <f>SUMIF(剪辑记录!$A$3:$A$313,A14,剪辑记录!W$3:W$313)</f>
        <v/>
      </c>
      <c r="AC20" s="25">
        <f>SUMIF(剪辑记录!$A$3:$A$313,A14,剪辑记录!X$3:X$313)</f>
        <v/>
      </c>
      <c r="AD20" s="27" t="n"/>
    </row>
    <row r="21" ht="22.5" customHeight="1">
      <c r="A21" s="23" t="inlineStr">
        <is>
          <t>申铭赫</t>
        </is>
      </c>
      <c r="B21" s="23">
        <f>COUNTIF(剪辑记录!$A$3:$A$313,A15)</f>
        <v/>
      </c>
      <c r="C21" s="24">
        <f>SUMIF(剪辑记录!$A$3:$A$313,A15,剪辑记录!$C$3:$C$313)-SUMIF(剪辑记录!$A$3:$A$313,A15,剪辑记录!$B$3:$B$313)</f>
        <v/>
      </c>
      <c r="D21" s="25">
        <f>SUMIF(剪辑记录!$A$3:$A$313,A15,剪辑记录!D$3:D$313)</f>
        <v/>
      </c>
      <c r="E21" s="25">
        <f>SUMIF(剪辑记录!$A$3:$A$313,A15,剪辑记录!E$3:E$313)</f>
        <v/>
      </c>
      <c r="F21" s="25">
        <f>SUMIF(剪辑记录!$A$3:$A$313,A15,剪辑记录!F$3:F$313)</f>
        <v/>
      </c>
      <c r="G21" s="46">
        <f>IF(D15=0,0,ROUND(F15/(D15*2),3))</f>
        <v/>
      </c>
      <c r="H21" s="25">
        <f>SUMIF(剪辑记录!$A$3:$A$313,A15,剪辑记录!G$3:G$313)</f>
        <v/>
      </c>
      <c r="I21" s="25">
        <f>SUMIF(剪辑记录!$A$3:$A$313,A15,剪辑记录!H$3:H$313)</f>
        <v/>
      </c>
      <c r="J21" s="25">
        <f>SUMIF(剪辑记录!$A$3:$A$313,A15,剪辑记录!I$3:I$313)</f>
        <v/>
      </c>
      <c r="K21" s="46">
        <f>IF(H15=0,0,ROUND(J15/(H15*2),3))</f>
        <v/>
      </c>
      <c r="L21" s="25">
        <f>SUMIF(剪辑记录!$A$3:$A$313,A15,剪辑记录!J$3:J$313)</f>
        <v/>
      </c>
      <c r="M21" s="25">
        <f>SUMIF(剪辑记录!$A$3:$A$313,A15,剪辑记录!K$3:K$313)</f>
        <v/>
      </c>
      <c r="N21" s="25">
        <f>SUMIF(剪辑记录!$A$3:$A$313,A15,剪辑记录!L$3:L$313)</f>
        <v/>
      </c>
      <c r="O21" s="46">
        <f>IF(L15=0,0,ROUND(N15/(L15*3),3))</f>
        <v/>
      </c>
      <c r="P21" s="25">
        <f>SUMIF(剪辑记录!$A$3:$A$313,A15,剪辑记录!M$3:M$313)</f>
        <v/>
      </c>
      <c r="Q21" s="25">
        <f>SUMIF(剪辑记录!$A$3:$A$313,A15,剪辑记录!N$3:N$313)</f>
        <v/>
      </c>
      <c r="R21" s="25">
        <f>SUMIF(剪辑记录!$A$3:$A$313,A15,剪辑记录!O$3:O$313)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SUMIF(剪辑记录!$A$3:$A$313,A15,剪辑记录!S$3:S$313)</f>
        <v/>
      </c>
      <c r="Y21" s="25">
        <f>SUMIF(剪辑记录!$A$3:$A$313,A15,剪辑记录!T$3:T$313)</f>
        <v/>
      </c>
      <c r="Z21" s="25">
        <f>X15+Y15</f>
        <v/>
      </c>
      <c r="AA21" s="25">
        <f>SUMIF(剪辑记录!$A$3:$A$313,A15,剪辑记录!V$3:V$313)</f>
        <v/>
      </c>
      <c r="AB21" s="25">
        <f>SUMIF(剪辑记录!$A$3:$A$313,A15,剪辑记录!W$3:W$313)</f>
        <v/>
      </c>
      <c r="AC21" s="25">
        <f>SUMIF(剪辑记录!$A$3:$A$313,A15,剪辑记录!X$3:X$313)</f>
        <v/>
      </c>
      <c r="AD21" s="27" t="n"/>
    </row>
    <row r="22">
      <c r="A22" s="23" t="inlineStr">
        <is>
          <t>许馨墨</t>
        </is>
      </c>
      <c r="B22" s="23">
        <f>COUNTIF(剪辑记录!$A$3:$A$313,A16)</f>
        <v/>
      </c>
      <c r="C22" s="24">
        <f>SUMIF(剪辑记录!$A$3:$A$313,A16,剪辑记录!$C$3:$C$313)-SUMIF(剪辑记录!$A$3:$A$313,A16,剪辑记录!$B$3:$B$313)</f>
        <v/>
      </c>
      <c r="D22" s="25">
        <f>SUMIF(剪辑记录!$A$3:$A$313,A16,剪辑记录!D$3:D$313)</f>
        <v/>
      </c>
      <c r="E22" s="25">
        <f>SUMIF(剪辑记录!$A$3:$A$313,A16,剪辑记录!E$3:E$313)</f>
        <v/>
      </c>
      <c r="F22" s="25">
        <f>SUMIF(剪辑记录!$A$3:$A$313,A16,剪辑记录!F$3:F$313)</f>
        <v/>
      </c>
      <c r="G22" s="46">
        <f>IF(D16=0,0,ROUND(F16/(D16*2),3))</f>
        <v/>
      </c>
      <c r="H22" s="25">
        <f>SUMIF(剪辑记录!$A$3:$A$313,A16,剪辑记录!G$3:G$313)</f>
        <v/>
      </c>
      <c r="I22" s="25">
        <f>SUMIF(剪辑记录!$A$3:$A$313,A16,剪辑记录!H$3:H$313)</f>
        <v/>
      </c>
      <c r="J22" s="25">
        <f>SUMIF(剪辑记录!$A$3:$A$313,A16,剪辑记录!I$3:I$313)</f>
        <v/>
      </c>
      <c r="K22" s="46">
        <f>IF(H16=0,0,ROUND(J16/(H16*2),3))</f>
        <v/>
      </c>
      <c r="L22" s="25">
        <f>SUMIF(剪辑记录!$A$3:$A$313,A16,剪辑记录!J$3:J$313)</f>
        <v/>
      </c>
      <c r="M22" s="25">
        <f>SUMIF(剪辑记录!$A$3:$A$313,A16,剪辑记录!K$3:K$313)</f>
        <v/>
      </c>
      <c r="N22" s="25">
        <f>SUMIF(剪辑记录!$A$3:$A$313,A16,剪辑记录!L$3:L$313)</f>
        <v/>
      </c>
      <c r="O22" s="46">
        <f>IF(L16=0,0,ROUND(N16/(L16*3),3))</f>
        <v/>
      </c>
      <c r="P22" s="25">
        <f>SUMIF(剪辑记录!$A$3:$A$313,A16,剪辑记录!M$3:M$313)</f>
        <v/>
      </c>
      <c r="Q22" s="25">
        <f>SUMIF(剪辑记录!$A$3:$A$313,A16,剪辑记录!N$3:N$313)</f>
        <v/>
      </c>
      <c r="R22" s="25">
        <f>SUMIF(剪辑记录!$A$3:$A$313,A16,剪辑记录!O$3:O$313)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SUMIF(剪辑记录!$A$3:$A$313,A16,剪辑记录!S$3:S$313)</f>
        <v/>
      </c>
      <c r="Y22" s="25">
        <f>SUMIF(剪辑记录!$A$3:$A$313,A16,剪辑记录!T$3:T$313)</f>
        <v/>
      </c>
      <c r="Z22" s="25">
        <f>X16+Y16</f>
        <v/>
      </c>
      <c r="AA22" s="25">
        <f>SUMIF(剪辑记录!$A$3:$A$313,A16,剪辑记录!V$3:V$313)</f>
        <v/>
      </c>
      <c r="AB22" s="25">
        <f>SUMIF(剪辑记录!$A$3:$A$313,A16,剪辑记录!W$3:W$313)</f>
        <v/>
      </c>
      <c r="AC22" s="25">
        <f>SUMIF(剪辑记录!$A$3:$A$313,A16,剪辑记录!X$3:X$313)</f>
        <v/>
      </c>
      <c r="AD22" s="27" t="n"/>
    </row>
    <row r="23" ht="14.25" customHeight="1">
      <c r="A23" s="23" t="inlineStr">
        <is>
          <t>喻逸凡</t>
        </is>
      </c>
      <c r="B23" s="23">
        <f>COUNTIF(剪辑记录!$A$3:$A$313,A17)</f>
        <v/>
      </c>
      <c r="C23" s="24">
        <f>SUMIF(剪辑记录!$A$3:$A$313,A17,剪辑记录!$C$3:$C$313)-SUMIF(剪辑记录!$A$3:$A$313,A17,剪辑记录!$B$3:$B$313)</f>
        <v/>
      </c>
      <c r="D23" s="25">
        <f>SUMIF(剪辑记录!$A$3:$A$313,A17,剪辑记录!D$3:D$313)</f>
        <v/>
      </c>
      <c r="E23" s="25">
        <f>SUMIF(剪辑记录!$A$3:$A$313,A17,剪辑记录!E$3:E$313)</f>
        <v/>
      </c>
      <c r="F23" s="25">
        <f>SUMIF(剪辑记录!$A$3:$A$313,A17,剪辑记录!F$3:F$313)</f>
        <v/>
      </c>
      <c r="G23" s="46">
        <f>IF(D17=0,0,ROUND(F17/(D17*2),3))</f>
        <v/>
      </c>
      <c r="H23" s="25">
        <f>SUMIF(剪辑记录!$A$3:$A$313,A17,剪辑记录!G$3:G$313)</f>
        <v/>
      </c>
      <c r="I23" s="25">
        <f>SUMIF(剪辑记录!$A$3:$A$313,A17,剪辑记录!H$3:H$313)</f>
        <v/>
      </c>
      <c r="J23" s="25">
        <f>SUMIF(剪辑记录!$A$3:$A$313,A17,剪辑记录!I$3:I$313)</f>
        <v/>
      </c>
      <c r="K23" s="46">
        <f>IF(H17=0,0,ROUND(J17/(H17*2),3))</f>
        <v/>
      </c>
      <c r="L23" s="25">
        <f>SUMIF(剪辑记录!$A$3:$A$313,A17,剪辑记录!J$3:J$313)</f>
        <v/>
      </c>
      <c r="M23" s="25">
        <f>SUMIF(剪辑记录!$A$3:$A$313,A17,剪辑记录!K$3:K$313)</f>
        <v/>
      </c>
      <c r="N23" s="25">
        <f>SUMIF(剪辑记录!$A$3:$A$313,A17,剪辑记录!L$3:L$313)</f>
        <v/>
      </c>
      <c r="O23" s="46">
        <f>IF(L17=0,0,ROUND(N17/(L17*3),3))</f>
        <v/>
      </c>
      <c r="P23" s="25">
        <f>SUMIF(剪辑记录!$A$3:$A$313,A17,剪辑记录!M$3:M$313)</f>
        <v/>
      </c>
      <c r="Q23" s="25">
        <f>SUMIF(剪辑记录!$A$3:$A$313,A17,剪辑记录!N$3:N$313)</f>
        <v/>
      </c>
      <c r="R23" s="25">
        <f>SUMIF(剪辑记录!$A$3:$A$313,A17,剪辑记录!O$3:O$313)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SUMIF(剪辑记录!$A$3:$A$313,A17,剪辑记录!S$3:S$313)</f>
        <v/>
      </c>
      <c r="Y23" s="25">
        <f>SUMIF(剪辑记录!$A$3:$A$313,A17,剪辑记录!T$3:T$313)</f>
        <v/>
      </c>
      <c r="Z23" s="25">
        <f>X17+Y17</f>
        <v/>
      </c>
      <c r="AA23" s="25">
        <f>SUMIF(剪辑记录!$A$3:$A$313,A17,剪辑记录!V$3:V$313)</f>
        <v/>
      </c>
      <c r="AB23" s="25">
        <f>SUMIF(剪辑记录!$A$3:$A$313,A17,剪辑记录!W$3:W$313)</f>
        <v/>
      </c>
      <c r="AC23" s="25">
        <f>SUMIF(剪辑记录!$A$3:$A$313,A17,剪辑记录!X$3:X$313)</f>
        <v/>
      </c>
      <c r="AD23" s="27" t="n"/>
    </row>
    <row r="24">
      <c r="A24" s="23" t="inlineStr">
        <is>
          <t>B队球员8</t>
        </is>
      </c>
      <c r="B24" s="23">
        <f>COUNTIF(剪辑记录!$A$3:$A$313,A17)</f>
        <v/>
      </c>
      <c r="C24" s="24">
        <f>SUMIF(剪辑记录!$A$3:$A$313,A17,剪辑记录!$C$3:$C$313)-SUMIF(剪辑记录!$A$3:$A$313,A17,剪辑记录!$B$3:$B$313)</f>
        <v/>
      </c>
      <c r="D24" s="25">
        <f>SUMIF(剪辑记录!$A$3:$A$313,A17,剪辑记录!D$3:D$313)</f>
        <v/>
      </c>
      <c r="E24" s="25">
        <f>SUMIF(剪辑记录!$A$3:$A$313,A17,剪辑记录!E$3:E$313)</f>
        <v/>
      </c>
      <c r="F24" s="25">
        <f>SUMIF(剪辑记录!$A$3:$A$313,A17,剪辑记录!F$3:F$313)</f>
        <v/>
      </c>
      <c r="G24" s="46">
        <f>IF(D17=0,0,ROUND(F17/(D17*2),3))</f>
        <v/>
      </c>
      <c r="H24" s="25">
        <f>SUMIF(剪辑记录!$A$3:$A$313,A17,剪辑记录!G$3:G$313)</f>
        <v/>
      </c>
      <c r="I24" s="25">
        <f>SUMIF(剪辑记录!$A$3:$A$313,A17,剪辑记录!H$3:H$313)</f>
        <v/>
      </c>
      <c r="J24" s="25">
        <f>SUMIF(剪辑记录!$A$3:$A$313,A17,剪辑记录!I$3:I$313)</f>
        <v/>
      </c>
      <c r="K24" s="46">
        <f>IF(H17=0,0,ROUND(J17/(H17*2),3))</f>
        <v/>
      </c>
      <c r="L24" s="25">
        <f>SUMIF(剪辑记录!$A$3:$A$313,A17,剪辑记录!J$3:J$313)</f>
        <v/>
      </c>
      <c r="M24" s="25">
        <f>SUMIF(剪辑记录!$A$3:$A$313,A17,剪辑记录!K$3:K$313)</f>
        <v/>
      </c>
      <c r="N24" s="25">
        <f>SUMIF(剪辑记录!$A$3:$A$313,A17,剪辑记录!L$3:L$313)</f>
        <v/>
      </c>
      <c r="O24" s="46">
        <f>IF(L17=0,0,ROUND(N17/(L17*3),3))</f>
        <v/>
      </c>
      <c r="P24" s="25">
        <f>SUMIF(剪辑记录!$A$3:$A$313,A17,剪辑记录!M$3:M$313)</f>
        <v/>
      </c>
      <c r="Q24" s="25">
        <f>SUMIF(剪辑记录!$A$3:$A$313,A17,剪辑记录!N$3:N$313)</f>
        <v/>
      </c>
      <c r="R24" s="25">
        <f>SUMIF(剪辑记录!$A$3:$A$313,A17,剪辑记录!O$3:O$313)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SUMIF(剪辑记录!$A$3:$A$313,A17,剪辑记录!S$3:S$313)</f>
        <v/>
      </c>
      <c r="Y24" s="25">
        <f>SUMIF(剪辑记录!$A$3:$A$313,A17,剪辑记录!T$3:T$313)</f>
        <v/>
      </c>
      <c r="Z24" s="25">
        <f>X17+Y17</f>
        <v/>
      </c>
      <c r="AA24" s="25">
        <f>SUMIF(剪辑记录!$A$3:$A$313,A17,剪辑记录!V$3:V$313)</f>
        <v/>
      </c>
      <c r="AB24" s="25">
        <f>SUMIF(剪辑记录!$A$3:$A$313,A17,剪辑记录!W$3:W$313)</f>
        <v/>
      </c>
      <c r="AC24" s="25">
        <f>SUMIF(剪辑记录!$A$3:$A$313,A17,剪辑记录!X$3:X$313)</f>
        <v/>
      </c>
      <c r="AD24" s="27" t="n"/>
    </row>
    <row r="25">
      <c r="A25" s="23" t="inlineStr">
        <is>
          <t>B队球员9</t>
        </is>
      </c>
      <c r="B25" s="23">
        <f>COUNTIF(剪辑记录!$A$3:$A$313,A17)</f>
        <v/>
      </c>
      <c r="C25" s="24">
        <f>SUMIF(剪辑记录!$A$3:$A$313,A17,剪辑记录!$C$3:$C$313)-SUMIF(剪辑记录!$A$3:$A$313,A17,剪辑记录!$B$3:$B$313)</f>
        <v/>
      </c>
      <c r="D25" s="25">
        <f>SUMIF(剪辑记录!$A$3:$A$313,A17,剪辑记录!D$3:D$313)</f>
        <v/>
      </c>
      <c r="E25" s="25">
        <f>SUMIF(剪辑记录!$A$3:$A$313,A17,剪辑记录!E$3:E$313)</f>
        <v/>
      </c>
      <c r="F25" s="25">
        <f>SUMIF(剪辑记录!$A$3:$A$313,A17,剪辑记录!F$3:F$313)</f>
        <v/>
      </c>
      <c r="G25" s="46">
        <f>IF(D17=0,0,ROUND(F17/(D17*2),3))</f>
        <v/>
      </c>
      <c r="H25" s="25">
        <f>SUMIF(剪辑记录!$A$3:$A$313,A17,剪辑记录!G$3:G$313)</f>
        <v/>
      </c>
      <c r="I25" s="25">
        <f>SUMIF(剪辑记录!$A$3:$A$313,A17,剪辑记录!H$3:H$313)</f>
        <v/>
      </c>
      <c r="J25" s="25">
        <f>SUMIF(剪辑记录!$A$3:$A$313,A17,剪辑记录!I$3:I$313)</f>
        <v/>
      </c>
      <c r="K25" s="46">
        <f>IF(H17=0,0,ROUND(J17/(H17*2),3))</f>
        <v/>
      </c>
      <c r="L25" s="25">
        <f>SUMIF(剪辑记录!$A$3:$A$313,A17,剪辑记录!J$3:J$313)</f>
        <v/>
      </c>
      <c r="M25" s="25">
        <f>SUMIF(剪辑记录!$A$3:$A$313,A17,剪辑记录!K$3:K$313)</f>
        <v/>
      </c>
      <c r="N25" s="25">
        <f>SUMIF(剪辑记录!$A$3:$A$313,A17,剪辑记录!L$3:L$313)</f>
        <v/>
      </c>
      <c r="O25" s="46">
        <f>IF(L17=0,0,ROUND(N17/(L17*3),3))</f>
        <v/>
      </c>
      <c r="P25" s="25">
        <f>SUMIF(剪辑记录!$A$3:$A$313,A17,剪辑记录!M$3:M$313)</f>
        <v/>
      </c>
      <c r="Q25" s="25">
        <f>SUMIF(剪辑记录!$A$3:$A$313,A17,剪辑记录!N$3:N$313)</f>
        <v/>
      </c>
      <c r="R25" s="25">
        <f>SUMIF(剪辑记录!$A$3:$A$313,A17,剪辑记录!O$3:O$313)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SUMIF(剪辑记录!$A$3:$A$313,A17,剪辑记录!S$3:S$313)</f>
        <v/>
      </c>
      <c r="Y25" s="25">
        <f>SUMIF(剪辑记录!$A$3:$A$313,A17,剪辑记录!T$3:T$313)</f>
        <v/>
      </c>
      <c r="Z25" s="25">
        <f>X17+Y17</f>
        <v/>
      </c>
      <c r="AA25" s="25">
        <f>SUMIF(剪辑记录!$A$3:$A$313,A17,剪辑记录!V$3:V$313)</f>
        <v/>
      </c>
      <c r="AB25" s="25">
        <f>SUMIF(剪辑记录!$A$3:$A$313,A17,剪辑记录!W$3:W$313)</f>
        <v/>
      </c>
      <c r="AC25" s="25">
        <f>SUMIF(剪辑记录!$A$3:$A$313,A17,剪辑记录!X$3:X$313)</f>
        <v/>
      </c>
      <c r="AD25" s="27" t="n"/>
    </row>
    <row r="26">
      <c r="A26" s="23" t="inlineStr">
        <is>
          <t>B队球员10</t>
        </is>
      </c>
      <c r="B26" s="23">
        <f>COUNTIF(剪辑记录!$A$3:$A$313,A17)</f>
        <v/>
      </c>
      <c r="C26" s="24">
        <f>SUMIF(剪辑记录!$A$3:$A$313,A17,剪辑记录!$C$3:$C$313)-SUMIF(剪辑记录!$A$3:$A$313,A17,剪辑记录!$B$3:$B$313)</f>
        <v/>
      </c>
      <c r="D26" s="25">
        <f>SUMIF(剪辑记录!$A$3:$A$313,A17,剪辑记录!D$3:D$313)</f>
        <v/>
      </c>
      <c r="E26" s="25">
        <f>SUMIF(剪辑记录!$A$3:$A$313,A17,剪辑记录!E$3:E$313)</f>
        <v/>
      </c>
      <c r="F26" s="25">
        <f>SUMIF(剪辑记录!$A$3:$A$313,A17,剪辑记录!F$3:F$313)</f>
        <v/>
      </c>
      <c r="G26" s="46">
        <f>IF(D17=0,0,ROUND(F17/(D17*2),3))</f>
        <v/>
      </c>
      <c r="H26" s="25">
        <f>SUMIF(剪辑记录!$A$3:$A$313,A17,剪辑记录!G$3:G$313)</f>
        <v/>
      </c>
      <c r="I26" s="25">
        <f>SUMIF(剪辑记录!$A$3:$A$313,A17,剪辑记录!H$3:H$313)</f>
        <v/>
      </c>
      <c r="J26" s="25">
        <f>SUMIF(剪辑记录!$A$3:$A$313,A17,剪辑记录!I$3:I$313)</f>
        <v/>
      </c>
      <c r="K26" s="46">
        <f>IF(H17=0,0,ROUND(J17/(H17*2),3))</f>
        <v/>
      </c>
      <c r="L26" s="25">
        <f>SUMIF(剪辑记录!$A$3:$A$313,A17,剪辑记录!J$3:J$313)</f>
        <v/>
      </c>
      <c r="M26" s="25">
        <f>SUMIF(剪辑记录!$A$3:$A$313,A17,剪辑记录!K$3:K$313)</f>
        <v/>
      </c>
      <c r="N26" s="25">
        <f>SUMIF(剪辑记录!$A$3:$A$313,A17,剪辑记录!L$3:L$313)</f>
        <v/>
      </c>
      <c r="O26" s="46">
        <f>IF(L17=0,0,ROUND(N17/(L17*3),3))</f>
        <v/>
      </c>
      <c r="P26" s="25">
        <f>SUMIF(剪辑记录!$A$3:$A$313,A17,剪辑记录!M$3:M$313)</f>
        <v/>
      </c>
      <c r="Q26" s="25">
        <f>SUMIF(剪辑记录!$A$3:$A$313,A17,剪辑记录!N$3:N$313)</f>
        <v/>
      </c>
      <c r="R26" s="25">
        <f>SUMIF(剪辑记录!$A$3:$A$313,A17,剪辑记录!O$3:O$313)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SUMIF(剪辑记录!$A$3:$A$313,A17,剪辑记录!S$3:S$313)</f>
        <v/>
      </c>
      <c r="Y26" s="25">
        <f>SUMIF(剪辑记录!$A$3:$A$313,A17,剪辑记录!T$3:T$313)</f>
        <v/>
      </c>
      <c r="Z26" s="25">
        <f>X17+Y17</f>
        <v/>
      </c>
      <c r="AA26" s="25">
        <f>SUMIF(剪辑记录!$A$3:$A$313,A17,剪辑记录!V$3:V$313)</f>
        <v/>
      </c>
      <c r="AB26" s="25">
        <f>SUMIF(剪辑记录!$A$3:$A$313,A17,剪辑记录!W$3:W$313)</f>
        <v/>
      </c>
      <c r="AC26" s="25">
        <f>SUMIF(剪辑记录!$A$3:$A$313,A17,剪辑记录!X$3:X$313)</f>
        <v/>
      </c>
      <c r="AD26" s="27" t="n"/>
    </row>
    <row r="27">
      <c r="A27" s="23" t="inlineStr">
        <is>
          <t>B队球员11</t>
        </is>
      </c>
      <c r="B27" s="23">
        <f>COUNTIF(剪辑记录!$A$3:$A$313,A17)</f>
        <v/>
      </c>
      <c r="C27" s="24">
        <f>SUMIF(剪辑记录!$A$3:$A$313,A17,剪辑记录!$C$3:$C$313)-SUMIF(剪辑记录!$A$3:$A$313,A17,剪辑记录!$B$3:$B$313)</f>
        <v/>
      </c>
      <c r="D27" s="25">
        <f>SUMIF(剪辑记录!$A$3:$A$313,A17,剪辑记录!D$3:D$313)</f>
        <v/>
      </c>
      <c r="E27" s="25">
        <f>SUMIF(剪辑记录!$A$3:$A$313,A17,剪辑记录!E$3:E$313)</f>
        <v/>
      </c>
      <c r="F27" s="25">
        <f>SUMIF(剪辑记录!$A$3:$A$313,A17,剪辑记录!F$3:F$313)</f>
        <v/>
      </c>
      <c r="G27" s="46">
        <f>IF(D17=0,0,ROUND(F17/(D17*2),3))</f>
        <v/>
      </c>
      <c r="H27" s="25">
        <f>SUMIF(剪辑记录!$A$3:$A$313,A17,剪辑记录!G$3:G$313)</f>
        <v/>
      </c>
      <c r="I27" s="25">
        <f>SUMIF(剪辑记录!$A$3:$A$313,A17,剪辑记录!H$3:H$313)</f>
        <v/>
      </c>
      <c r="J27" s="25">
        <f>SUMIF(剪辑记录!$A$3:$A$313,A17,剪辑记录!I$3:I$313)</f>
        <v/>
      </c>
      <c r="K27" s="46">
        <f>IF(H17=0,0,ROUND(J17/(H17*2),3))</f>
        <v/>
      </c>
      <c r="L27" s="25">
        <f>SUMIF(剪辑记录!$A$3:$A$313,A17,剪辑记录!J$3:J$313)</f>
        <v/>
      </c>
      <c r="M27" s="25">
        <f>SUMIF(剪辑记录!$A$3:$A$313,A17,剪辑记录!K$3:K$313)</f>
        <v/>
      </c>
      <c r="N27" s="25">
        <f>SUMIF(剪辑记录!$A$3:$A$313,A17,剪辑记录!L$3:L$313)</f>
        <v/>
      </c>
      <c r="O27" s="46">
        <f>IF(L17=0,0,ROUND(N17/(L17*3),3))</f>
        <v/>
      </c>
      <c r="P27" s="25">
        <f>SUMIF(剪辑记录!$A$3:$A$313,A17,剪辑记录!M$3:M$313)</f>
        <v/>
      </c>
      <c r="Q27" s="25">
        <f>SUMIF(剪辑记录!$A$3:$A$313,A17,剪辑记录!N$3:N$313)</f>
        <v/>
      </c>
      <c r="R27" s="25">
        <f>SUMIF(剪辑记录!$A$3:$A$313,A17,剪辑记录!O$3:O$313)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SUMIF(剪辑记录!$A$3:$A$313,A17,剪辑记录!S$3:S$313)</f>
        <v/>
      </c>
      <c r="Y27" s="25">
        <f>SUMIF(剪辑记录!$A$3:$A$313,A17,剪辑记录!T$3:T$313)</f>
        <v/>
      </c>
      <c r="Z27" s="25">
        <f>X17+Y17</f>
        <v/>
      </c>
      <c r="AA27" s="25">
        <f>SUMIF(剪辑记录!$A$3:$A$313,A17,剪辑记录!V$3:V$313)</f>
        <v/>
      </c>
      <c r="AB27" s="25">
        <f>SUMIF(剪辑记录!$A$3:$A$313,A17,剪辑记录!W$3:W$313)</f>
        <v/>
      </c>
      <c r="AC27" s="25">
        <f>SUMIF(剪辑记录!$A$3:$A$313,A17,剪辑记录!X$3:X$313)</f>
        <v/>
      </c>
      <c r="AD27" s="27" t="n"/>
    </row>
    <row r="28">
      <c r="A28" s="23" t="inlineStr">
        <is>
          <t>B队球员12</t>
        </is>
      </c>
      <c r="B28" s="23">
        <f>COUNTIF(剪辑记录!$A$3:$A$313,A17)</f>
        <v/>
      </c>
      <c r="C28" s="24">
        <f>SUMIF(剪辑记录!$A$3:$A$313,A17,剪辑记录!$C$3:$C$313)-SUMIF(剪辑记录!$A$3:$A$313,A17,剪辑记录!$B$3:$B$313)</f>
        <v/>
      </c>
      <c r="D28" s="25">
        <f>SUMIF(剪辑记录!$A$3:$A$313,A17,剪辑记录!D$3:D$313)</f>
        <v/>
      </c>
      <c r="E28" s="25">
        <f>SUMIF(剪辑记录!$A$3:$A$313,A17,剪辑记录!E$3:E$313)</f>
        <v/>
      </c>
      <c r="F28" s="25">
        <f>SUMIF(剪辑记录!$A$3:$A$313,A17,剪辑记录!F$3:F$313)</f>
        <v/>
      </c>
      <c r="G28" s="46">
        <f>IF(D17=0,0,ROUND(F17/(D17*2),3))</f>
        <v/>
      </c>
      <c r="H28" s="25">
        <f>SUMIF(剪辑记录!$A$3:$A$313,A17,剪辑记录!G$3:G$313)</f>
        <v/>
      </c>
      <c r="I28" s="25">
        <f>SUMIF(剪辑记录!$A$3:$A$313,A17,剪辑记录!H$3:H$313)</f>
        <v/>
      </c>
      <c r="J28" s="25">
        <f>SUMIF(剪辑记录!$A$3:$A$313,A17,剪辑记录!I$3:I$313)</f>
        <v/>
      </c>
      <c r="K28" s="46">
        <f>IF(H17=0,0,ROUND(J17/(H17*2),3))</f>
        <v/>
      </c>
      <c r="L28" s="25">
        <f>SUMIF(剪辑记录!$A$3:$A$313,A17,剪辑记录!J$3:J$313)</f>
        <v/>
      </c>
      <c r="M28" s="25">
        <f>SUMIF(剪辑记录!$A$3:$A$313,A17,剪辑记录!K$3:K$313)</f>
        <v/>
      </c>
      <c r="N28" s="25">
        <f>SUMIF(剪辑记录!$A$3:$A$313,A17,剪辑记录!L$3:L$313)</f>
        <v/>
      </c>
      <c r="O28" s="46">
        <f>IF(L17=0,0,ROUND(N17/(L17*3),3))</f>
        <v/>
      </c>
      <c r="P28" s="25">
        <f>SUMIF(剪辑记录!$A$3:$A$313,A17,剪辑记录!M$3:M$313)</f>
        <v/>
      </c>
      <c r="Q28" s="25">
        <f>SUMIF(剪辑记录!$A$3:$A$313,A17,剪辑记录!N$3:N$313)</f>
        <v/>
      </c>
      <c r="R28" s="25">
        <f>SUMIF(剪辑记录!$A$3:$A$313,A17,剪辑记录!O$3:O$313)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SUMIF(剪辑记录!$A$3:$A$313,A17,剪辑记录!S$3:S$313)</f>
        <v/>
      </c>
      <c r="Y28" s="25">
        <f>SUMIF(剪辑记录!$A$3:$A$313,A17,剪辑记录!T$3:T$313)</f>
        <v/>
      </c>
      <c r="Z28" s="25">
        <f>X17+Y17</f>
        <v/>
      </c>
      <c r="AA28" s="25">
        <f>SUMIF(剪辑记录!$A$3:$A$313,A17,剪辑记录!V$3:V$313)</f>
        <v/>
      </c>
      <c r="AB28" s="25">
        <f>SUMIF(剪辑记录!$A$3:$A$313,A17,剪辑记录!W$3:W$313)</f>
        <v/>
      </c>
      <c r="AC28" s="25">
        <f>SUMIF(剪辑记录!$A$3:$A$313,A17,剪辑记录!X$3:X$313)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SUMPRODUCT(COUNTIF($A$4:$A$9,第1节!$A$3:$A$313))</f>
        <v/>
      </c>
      <c r="C3" s="10">
        <f>SUMPRODUCT(COUNTIF($A$4:$A$9,第1节!$A$3:$A$313),第1节!$C$3:$C$313)-SUMPRODUCT(COUNTIF($A$4:$A$9,第1节!$A$3:$A$313),第1节!$B$3:$B$313)</f>
        <v/>
      </c>
      <c r="D3" s="11">
        <f>SUMPRODUCT(COUNTIF($A$4:$A$9,第1节!$A$3:$A$313),第1节!D$3:D$313)</f>
        <v/>
      </c>
      <c r="E3" s="11">
        <f>SUMPRODUCT(COUNTIF($A$4:$A$9,第1节!$A$3:$A$313),第1节!E$3:E$313)</f>
        <v/>
      </c>
      <c r="F3" s="11">
        <f>SUMPRODUCT(COUNTIF($A$4:$A$9,第1节!$A$3:$A$313),第1节!F$3:F$313)</f>
        <v/>
      </c>
      <c r="G3" s="43">
        <f>IF(D3=0,0,ROUND(F3/(D3*2),3))</f>
        <v/>
      </c>
      <c r="H3" s="11">
        <f>SUMPRODUCT(COUNTIF($A$4:$A$9,第1节!$A$3:$A$313),第1节!G$3:G$313)</f>
        <v/>
      </c>
      <c r="I3" s="11">
        <f>SUMPRODUCT(COUNTIF($A$4:$A$9,第1节!$A$3:$A$313),第1节!H$3:H$313)</f>
        <v/>
      </c>
      <c r="J3" s="11">
        <f>SUMPRODUCT(COUNTIF($A$4:$A$9,第1节!$A$3:$A$313),第1节!I$3:I$313)</f>
        <v/>
      </c>
      <c r="K3" s="43">
        <f>IF(H3=0,0,ROUND(J3/(H3*2),3))</f>
        <v/>
      </c>
      <c r="L3" s="11">
        <f>SUMPRODUCT(COUNTIF($A$4:$A$9,第1节!$A$3:$A$313),第1节!J$3:J$313)</f>
        <v/>
      </c>
      <c r="M3" s="11">
        <f>SUMPRODUCT(COUNTIF($A$4:$A$9,第1节!$A$3:$A$313),第1节!K$3:K$313)</f>
        <v/>
      </c>
      <c r="N3" s="11">
        <f>SUMPRODUCT(COUNTIF($A$4:$A$9,第1节!$A$3:$A$313),第1节!L$3:L$313)</f>
        <v/>
      </c>
      <c r="O3" s="43">
        <f>IF(L3=0,0,ROUND(N3/(L3*3),3))</f>
        <v/>
      </c>
      <c r="P3" s="11">
        <f>SUMPRODUCT(COUNTIF($A$4:$A$9,第1节!$A$3:$A$313),第1节!M$3:M$313)</f>
        <v/>
      </c>
      <c r="Q3" s="11">
        <f>SUMPRODUCT(COUNTIF($A$4:$A$9,第1节!$A$3:$A$313),第1节!N$3:N$313)</f>
        <v/>
      </c>
      <c r="R3" s="11">
        <f>SUMPRODUCT(COUNTIF($A$4:$A$9,第1节!$A$3:$A$313),第1节!O$3:O$313)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SUMPRODUCT(COUNTIF($A$4:$A$9,第1节!$A$3:$A$313),第1节!S$3:S$313)</f>
        <v/>
      </c>
      <c r="Y3" s="11">
        <f>SUMPRODUCT(COUNTIF($A$4:$A$9,第1节!$A$3:$A$313),第1节!T$3:T$313)</f>
        <v/>
      </c>
      <c r="Z3" s="11">
        <f>X3+Y3</f>
        <v/>
      </c>
      <c r="AA3" s="11">
        <f>SUMPRODUCT(COUNTIF($A$4:$A$9,第1节!$A$3:$A$313),第1节!V$3:V$313)</f>
        <v/>
      </c>
      <c r="AB3" s="11">
        <f>SUMPRODUCT(COUNTIF($A$4:$A$9,第1节!$A$3:$A$313),第1节!W$3:W$313)</f>
        <v/>
      </c>
      <c r="AC3" s="11">
        <f>SUMPRODUCT(COUNTIF($A$4:$A$9,第1节!$A$3:$A$313),第1节!X$3:X$313)</f>
        <v/>
      </c>
      <c r="AD3" s="13" t="n"/>
    </row>
    <row r="4" ht="22.5" customHeight="1">
      <c r="A4" s="14" t="inlineStr">
        <is>
          <t>陈赞安</t>
        </is>
      </c>
      <c r="B4" s="14">
        <f>COUNTIF(第1节!$A$3:$A$313,A4)</f>
        <v/>
      </c>
      <c r="C4" s="15">
        <f>SUMIF(第1节!$A$3:$A$313,A4,第1节!$C$3:$C$313)-SUMIF(第1节!$A$3:$A$313,A4,第1节!$B$3:$B$313)</f>
        <v/>
      </c>
      <c r="D4" s="16">
        <f>SUMIF(第1节!$A$3:$A$313,A4,第1节!D$3:D$313)</f>
        <v/>
      </c>
      <c r="E4" s="16">
        <f>SUMIF(第1节!$A$3:$A$313,A4,第1节!E$3:E$313)</f>
        <v/>
      </c>
      <c r="F4" s="16">
        <f>SUMIF(第1节!$A$3:$A$313,A4,第1节!F$3:F$313)</f>
        <v/>
      </c>
      <c r="G4" s="44">
        <f>IF(D4=0,0,ROUND(F4/(D4*2),3))</f>
        <v/>
      </c>
      <c r="H4" s="16">
        <f>SUMIF(第1节!$A$3:$A$313,A4,第1节!G$3:G$313)</f>
        <v/>
      </c>
      <c r="I4" s="16">
        <f>SUMIF(第1节!$A$3:$A$313,A4,第1节!H$3:H$313)</f>
        <v/>
      </c>
      <c r="J4" s="16">
        <f>SUMIF(第1节!$A$3:$A$313,A4,第1节!I$3:I$313)</f>
        <v/>
      </c>
      <c r="K4" s="44">
        <f>IF(H4=0,0,ROUND(J4/(H4*2),3))</f>
        <v/>
      </c>
      <c r="L4" s="16">
        <f>SUMIF(第1节!$A$3:$A$313,A4,第1节!J$3:J$313)</f>
        <v/>
      </c>
      <c r="M4" s="16">
        <f>SUMIF(第1节!$A$3:$A$313,A4,第1节!K$3:K$313)</f>
        <v/>
      </c>
      <c r="N4" s="16">
        <f>SUMIF(第1节!$A$3:$A$313,A4,第1节!L$3:L$313)</f>
        <v/>
      </c>
      <c r="O4" s="44">
        <f>IF(L4=0,0,ROUND(N4/(L4*3),3))</f>
        <v/>
      </c>
      <c r="P4" s="16">
        <f>SUMIF(第1节!$A$3:$A$313,A4,第1节!M$3:M$313)</f>
        <v/>
      </c>
      <c r="Q4" s="16">
        <f>SUMIF(第1节!$A$3:$A$313,A4,第1节!N$3:N$313)</f>
        <v/>
      </c>
      <c r="R4" s="16">
        <f>SUMIF(第1节!$A$3:$A$313,A4,第1节!O$3:O$313)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SUMIF(第1节!$A$3:$A$313,A4,第1节!S$3:S$313)</f>
        <v/>
      </c>
      <c r="Y4" s="16">
        <f>SUMIF(第1节!$A$3:$A$313,A4,第1节!T$3:T$313)</f>
        <v/>
      </c>
      <c r="Z4" s="16">
        <f>X4+Y4</f>
        <v/>
      </c>
      <c r="AA4" s="16">
        <f>SUMIF(第1节!$A$3:$A$313,A4,第1节!V$3:V$313)</f>
        <v/>
      </c>
      <c r="AB4" s="16">
        <f>SUMIF(第1节!$A$3:$A$313,A4,第1节!W$3:W$313)</f>
        <v/>
      </c>
      <c r="AC4" s="16">
        <f>SUMIF(第1节!$A$3:$A$313,A4,第1节!X$3:X$313)</f>
        <v/>
      </c>
      <c r="AD4" s="18" t="n"/>
    </row>
    <row r="5" ht="22.5" customHeight="1">
      <c r="A5" s="14" t="inlineStr">
        <is>
          <t>张绪然</t>
        </is>
      </c>
      <c r="B5" s="14">
        <f>COUNTIF(第1节!$A$3:$A$313,A5)</f>
        <v/>
      </c>
      <c r="C5" s="15">
        <f>SUMIF(第1节!$A$3:$A$313,A5,第1节!$C$3:$C$313)-SUMIF(第1节!$A$3:$A$313,A5,第1节!$B$3:$B$313)</f>
        <v/>
      </c>
      <c r="D5" s="16">
        <f>SUMIF(第1节!$A$3:$A$313,A5,第1节!D$3:D$313)</f>
        <v/>
      </c>
      <c r="E5" s="16">
        <f>SUMIF(第1节!$A$3:$A$313,A5,第1节!E$3:E$313)</f>
        <v/>
      </c>
      <c r="F5" s="16">
        <f>SUMIF(第1节!$A$3:$A$313,A5,第1节!F$3:F$313)</f>
        <v/>
      </c>
      <c r="G5" s="44">
        <f>IF(D5=0,0,ROUND(F5/(D5*2),3))</f>
        <v/>
      </c>
      <c r="H5" s="16">
        <f>SUMIF(第1节!$A$3:$A$313,A5,第1节!G$3:G$313)</f>
        <v/>
      </c>
      <c r="I5" s="16">
        <f>SUMIF(第1节!$A$3:$A$313,A5,第1节!H$3:H$313)</f>
        <v/>
      </c>
      <c r="J5" s="16">
        <f>SUMIF(第1节!$A$3:$A$313,A5,第1节!I$3:I$313)</f>
        <v/>
      </c>
      <c r="K5" s="44">
        <f>IF(H5=0,0,ROUND(J5/(H5*2),3))</f>
        <v/>
      </c>
      <c r="L5" s="16">
        <f>SUMIF(第1节!$A$3:$A$313,A5,第1节!J$3:J$313)</f>
        <v/>
      </c>
      <c r="M5" s="16">
        <f>SUMIF(第1节!$A$3:$A$313,A5,第1节!K$3:K$313)</f>
        <v/>
      </c>
      <c r="N5" s="16">
        <f>SUMIF(第1节!$A$3:$A$313,A5,第1节!L$3:L$313)</f>
        <v/>
      </c>
      <c r="O5" s="44">
        <f>IF(L5=0,0,ROUND(N5/(L5*3),3))</f>
        <v/>
      </c>
      <c r="P5" s="16">
        <f>SUMIF(第1节!$A$3:$A$313,A5,第1节!M$3:M$313)</f>
        <v/>
      </c>
      <c r="Q5" s="16">
        <f>SUMIF(第1节!$A$3:$A$313,A5,第1节!N$3:N$313)</f>
        <v/>
      </c>
      <c r="R5" s="16">
        <f>SUMIF(第1节!$A$3:$A$313,A5,第1节!O$3:O$313)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SUMIF(第1节!$A$3:$A$313,A5,第1节!S$3:S$313)</f>
        <v/>
      </c>
      <c r="Y5" s="16">
        <f>SUMIF(第1节!$A$3:$A$313,A5,第1节!T$3:T$313)</f>
        <v/>
      </c>
      <c r="Z5" s="16">
        <f>X5+Y5</f>
        <v/>
      </c>
      <c r="AA5" s="16">
        <f>SUMIF(第1节!$A$3:$A$313,A5,第1节!V$3:V$313)</f>
        <v/>
      </c>
      <c r="AB5" s="16">
        <f>SUMIF(第1节!$A$3:$A$313,A5,第1节!W$3:W$313)</f>
        <v/>
      </c>
      <c r="AC5" s="16">
        <f>SUMIF(第1节!$A$3:$A$313,A5,第1节!X$3:X$313)</f>
        <v/>
      </c>
      <c r="AD5" s="18" t="n"/>
    </row>
    <row r="6" ht="22.5" customHeight="1">
      <c r="A6" s="14" t="inlineStr">
        <is>
          <t>雷奕梵</t>
        </is>
      </c>
      <c r="B6" s="14">
        <f>COUNTIF(第1节!$A$3:$A$313,A6)</f>
        <v/>
      </c>
      <c r="C6" s="15">
        <f>SUMIF(第1节!$A$3:$A$313,A6,第1节!$C$3:$C$313)-SUMIF(第1节!$A$3:$A$313,A6,第1节!$B$3:$B$313)</f>
        <v/>
      </c>
      <c r="D6" s="16">
        <f>SUMIF(第1节!$A$3:$A$313,A6,第1节!D$3:D$313)</f>
        <v/>
      </c>
      <c r="E6" s="16">
        <f>SUMIF(第1节!$A$3:$A$313,A6,第1节!E$3:E$313)</f>
        <v/>
      </c>
      <c r="F6" s="16">
        <f>SUMIF(第1节!$A$3:$A$313,A6,第1节!F$3:F$313)</f>
        <v/>
      </c>
      <c r="G6" s="44">
        <f>IF(D6=0,0,ROUND(F6/(D6*2),3))</f>
        <v/>
      </c>
      <c r="H6" s="16">
        <f>SUMIF(第1节!$A$3:$A$313,A6,第1节!G$3:G$313)</f>
        <v/>
      </c>
      <c r="I6" s="16">
        <f>SUMIF(第1节!$A$3:$A$313,A6,第1节!H$3:H$313)</f>
        <v/>
      </c>
      <c r="J6" s="16">
        <f>SUMIF(第1节!$A$3:$A$313,A6,第1节!I$3:I$313)</f>
        <v/>
      </c>
      <c r="K6" s="44">
        <f>IF(H6=0,0,ROUND(J6/(H6*2),3))</f>
        <v/>
      </c>
      <c r="L6" s="16">
        <f>SUMIF(第1节!$A$3:$A$313,A6,第1节!J$3:J$313)</f>
        <v/>
      </c>
      <c r="M6" s="16">
        <f>SUMIF(第1节!$A$3:$A$313,A6,第1节!K$3:K$313)</f>
        <v/>
      </c>
      <c r="N6" s="16">
        <f>SUMIF(第1节!$A$3:$A$313,A6,第1节!L$3:L$313)</f>
        <v/>
      </c>
      <c r="O6" s="44">
        <f>IF(L6=0,0,ROUND(N6/(L6*3),3))</f>
        <v/>
      </c>
      <c r="P6" s="16">
        <f>SUMIF(第1节!$A$3:$A$313,A6,第1节!M$3:M$313)</f>
        <v/>
      </c>
      <c r="Q6" s="16">
        <f>SUMIF(第1节!$A$3:$A$313,A6,第1节!N$3:N$313)</f>
        <v/>
      </c>
      <c r="R6" s="16">
        <f>SUMIF(第1节!$A$3:$A$313,A6,第1节!O$3:O$313)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SUMIF(第1节!$A$3:$A$313,A6,第1节!S$3:S$313)</f>
        <v/>
      </c>
      <c r="Y6" s="16">
        <f>SUMIF(第1节!$A$3:$A$313,A6,第1节!T$3:T$313)</f>
        <v/>
      </c>
      <c r="Z6" s="16">
        <f>X6+Y6</f>
        <v/>
      </c>
      <c r="AA6" s="16">
        <f>SUMIF(第1节!$A$3:$A$313,A6,第1节!V$3:V$313)</f>
        <v/>
      </c>
      <c r="AB6" s="16">
        <f>SUMIF(第1节!$A$3:$A$313,A6,第1节!W$3:W$313)</f>
        <v/>
      </c>
      <c r="AC6" s="16">
        <f>SUMIF(第1节!$A$3:$A$313,A6,第1节!X$3:X$313)</f>
        <v/>
      </c>
      <c r="AD6" s="18" t="n"/>
    </row>
    <row r="7" ht="22.5" customHeight="1">
      <c r="A7" s="14" t="inlineStr">
        <is>
          <t>洪浩哲</t>
        </is>
      </c>
      <c r="B7" s="14">
        <f>COUNTIF(第1节!$A$3:$A$313,A7)</f>
        <v/>
      </c>
      <c r="C7" s="15">
        <f>SUMIF(第1节!$A$3:$A$313,A7,第1节!$C$3:$C$313)-SUMIF(第1节!$A$3:$A$313,A7,第1节!$B$3:$B$313)</f>
        <v/>
      </c>
      <c r="D7" s="16">
        <f>SUMIF(第1节!$A$3:$A$313,A7,第1节!D$3:D$313)</f>
        <v/>
      </c>
      <c r="E7" s="16">
        <f>SUMIF(第1节!$A$3:$A$313,A7,第1节!E$3:E$313)</f>
        <v/>
      </c>
      <c r="F7" s="16">
        <f>SUMIF(第1节!$A$3:$A$313,A7,第1节!F$3:F$313)</f>
        <v/>
      </c>
      <c r="G7" s="44">
        <f>IF(D7=0,0,ROUND(F7/(D7*2),3))</f>
        <v/>
      </c>
      <c r="H7" s="16">
        <f>SUMIF(第1节!$A$3:$A$313,A7,第1节!G$3:G$313)</f>
        <v/>
      </c>
      <c r="I7" s="16">
        <f>SUMIF(第1节!$A$3:$A$313,A7,第1节!H$3:H$313)</f>
        <v/>
      </c>
      <c r="J7" s="16">
        <f>SUMIF(第1节!$A$3:$A$313,A7,第1节!I$3:I$313)</f>
        <v/>
      </c>
      <c r="K7" s="44">
        <f>IF(H7=0,0,ROUND(J7/(H7*2),3))</f>
        <v/>
      </c>
      <c r="L7" s="16">
        <f>SUMIF(第1节!$A$3:$A$313,A7,第1节!J$3:J$313)</f>
        <v/>
      </c>
      <c r="M7" s="16">
        <f>SUMIF(第1节!$A$3:$A$313,A7,第1节!K$3:K$313)</f>
        <v/>
      </c>
      <c r="N7" s="16">
        <f>SUMIF(第1节!$A$3:$A$313,A7,第1节!L$3:L$313)</f>
        <v/>
      </c>
      <c r="O7" s="44">
        <f>IF(L7=0,0,ROUND(N7/(L7*3),3))</f>
        <v/>
      </c>
      <c r="P7" s="16">
        <f>SUMIF(第1节!$A$3:$A$313,A7,第1节!M$3:M$313)</f>
        <v/>
      </c>
      <c r="Q7" s="16">
        <f>SUMIF(第1节!$A$3:$A$313,A7,第1节!N$3:N$313)</f>
        <v/>
      </c>
      <c r="R7" s="16">
        <f>SUMIF(第1节!$A$3:$A$313,A7,第1节!O$3:O$313)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SUMIF(第1节!$A$3:$A$313,A7,第1节!S$3:S$313)</f>
        <v/>
      </c>
      <c r="Y7" s="16">
        <f>SUMIF(第1节!$A$3:$A$313,A7,第1节!T$3:T$313)</f>
        <v/>
      </c>
      <c r="Z7" s="16">
        <f>X7+Y7</f>
        <v/>
      </c>
      <c r="AA7" s="16">
        <f>SUMIF(第1节!$A$3:$A$313,A7,第1节!V$3:V$313)</f>
        <v/>
      </c>
      <c r="AB7" s="16">
        <f>SUMIF(第1节!$A$3:$A$313,A7,第1节!W$3:W$313)</f>
        <v/>
      </c>
      <c r="AC7" s="16">
        <f>SUMIF(第1节!$A$3:$A$313,A7,第1节!X$3:X$313)</f>
        <v/>
      </c>
      <c r="AD7" s="18" t="n"/>
    </row>
    <row r="8" ht="22.5" customHeight="1">
      <c r="A8" s="14" t="inlineStr">
        <is>
          <t>刘炎昊</t>
        </is>
      </c>
      <c r="B8" s="14">
        <f>COUNTIF(第1节!$A$3:$A$313,A8)</f>
        <v/>
      </c>
      <c r="C8" s="15">
        <f>SUMIF(第1节!$A$3:$A$313,A8,第1节!$C$3:$C$313)-SUMIF(第1节!$A$3:$A$313,A8,第1节!$B$3:$B$313)</f>
        <v/>
      </c>
      <c r="D8" s="16">
        <f>SUMIF(第1节!$A$3:$A$313,A8,第1节!D$3:D$313)</f>
        <v/>
      </c>
      <c r="E8" s="16">
        <f>SUMIF(第1节!$A$3:$A$313,A8,第1节!E$3:E$313)</f>
        <v/>
      </c>
      <c r="F8" s="16">
        <f>SUMIF(第1节!$A$3:$A$313,A8,第1节!F$3:F$313)</f>
        <v/>
      </c>
      <c r="G8" s="44">
        <f>IF(D8=0,0,ROUND(F8/(D8*2),3))</f>
        <v/>
      </c>
      <c r="H8" s="16">
        <f>SUMIF(第1节!$A$3:$A$313,A8,第1节!G$3:G$313)</f>
        <v/>
      </c>
      <c r="I8" s="16">
        <f>SUMIF(第1节!$A$3:$A$313,A8,第1节!H$3:H$313)</f>
        <v/>
      </c>
      <c r="J8" s="16">
        <f>SUMIF(第1节!$A$3:$A$313,A8,第1节!I$3:I$313)</f>
        <v/>
      </c>
      <c r="K8" s="44">
        <f>IF(H8=0,0,ROUND(J8/(H8*2),3))</f>
        <v/>
      </c>
      <c r="L8" s="16">
        <f>SUMIF(第1节!$A$3:$A$313,A8,第1节!J$3:J$313)</f>
        <v/>
      </c>
      <c r="M8" s="16">
        <f>SUMIF(第1节!$A$3:$A$313,A8,第1节!K$3:K$313)</f>
        <v/>
      </c>
      <c r="N8" s="16">
        <f>SUMIF(第1节!$A$3:$A$313,A8,第1节!L$3:L$313)</f>
        <v/>
      </c>
      <c r="O8" s="44">
        <f>IF(L8=0,0,ROUND(N8/(L8*3),3))</f>
        <v/>
      </c>
      <c r="P8" s="16">
        <f>SUMIF(第1节!$A$3:$A$313,A8,第1节!M$3:M$313)</f>
        <v/>
      </c>
      <c r="Q8" s="16">
        <f>SUMIF(第1节!$A$3:$A$313,A8,第1节!N$3:N$313)</f>
        <v/>
      </c>
      <c r="R8" s="16">
        <f>SUMIF(第1节!$A$3:$A$313,A8,第1节!O$3:O$313)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SUMIF(第1节!$A$3:$A$313,A8,第1节!S$3:S$313)</f>
        <v/>
      </c>
      <c r="Y8" s="16">
        <f>SUMIF(第1节!$A$3:$A$313,A8,第1节!T$3:T$313)</f>
        <v/>
      </c>
      <c r="Z8" s="16">
        <f>X8+Y8</f>
        <v/>
      </c>
      <c r="AA8" s="16">
        <f>SUMIF(第1节!$A$3:$A$313,A8,第1节!V$3:V$313)</f>
        <v/>
      </c>
      <c r="AB8" s="16">
        <f>SUMIF(第1节!$A$3:$A$313,A8,第1节!W$3:W$313)</f>
        <v/>
      </c>
      <c r="AC8" s="16">
        <f>SUMIF(第1节!$A$3:$A$313,A8,第1节!X$3:X$313)</f>
        <v/>
      </c>
      <c r="AD8" s="18" t="n"/>
    </row>
    <row r="9" ht="22.5" customHeight="1">
      <c r="A9" s="14" t="inlineStr">
        <is>
          <t>施柏宇</t>
        </is>
      </c>
      <c r="B9" s="14">
        <f>COUNTIF(第1节!$A$3:$A$313,A9)</f>
        <v/>
      </c>
      <c r="C9" s="15">
        <f>SUMIF(第1节!$A$3:$A$313,A9,第1节!$C$3:$C$313)-SUMIF(第1节!$A$3:$A$313,A9,第1节!$B$3:$B$313)</f>
        <v/>
      </c>
      <c r="D9" s="16">
        <f>SUMIF(第1节!$A$3:$A$313,A9,第1节!D$3:D$313)</f>
        <v/>
      </c>
      <c r="E9" s="16">
        <f>SUMIF(第1节!$A$3:$A$313,A9,第1节!E$3:E$313)</f>
        <v/>
      </c>
      <c r="F9" s="16">
        <f>SUMIF(第1节!$A$3:$A$313,A9,第1节!F$3:F$313)</f>
        <v/>
      </c>
      <c r="G9" s="44">
        <f>IF(D9=0,0,ROUND(F9/(D9*2),3))</f>
        <v/>
      </c>
      <c r="H9" s="16">
        <f>SUMIF(第1节!$A$3:$A$313,A9,第1节!G$3:G$313)</f>
        <v/>
      </c>
      <c r="I9" s="16">
        <f>SUMIF(第1节!$A$3:$A$313,A9,第1节!H$3:H$313)</f>
        <v/>
      </c>
      <c r="J9" s="16">
        <f>SUMIF(第1节!$A$3:$A$313,A9,第1节!I$3:I$313)</f>
        <v/>
      </c>
      <c r="K9" s="44">
        <f>IF(H9=0,0,ROUND(J9/(H9*2),3))</f>
        <v/>
      </c>
      <c r="L9" s="16">
        <f>SUMIF(第1节!$A$3:$A$313,A9,第1节!J$3:J$313)</f>
        <v/>
      </c>
      <c r="M9" s="16">
        <f>SUMIF(第1节!$A$3:$A$313,A9,第1节!K$3:K$313)</f>
        <v/>
      </c>
      <c r="N9" s="16">
        <f>SUMIF(第1节!$A$3:$A$313,A9,第1节!L$3:L$313)</f>
        <v/>
      </c>
      <c r="O9" s="44">
        <f>IF(L9=0,0,ROUND(N9/(L9*3),3))</f>
        <v/>
      </c>
      <c r="P9" s="16">
        <f>SUMIF(第1节!$A$3:$A$313,A9,第1节!M$3:M$313)</f>
        <v/>
      </c>
      <c r="Q9" s="16">
        <f>SUMIF(第1节!$A$3:$A$313,A9,第1节!N$3:N$313)</f>
        <v/>
      </c>
      <c r="R9" s="16">
        <f>SUMIF(第1节!$A$3:$A$313,A9,第1节!O$3:O$313)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SUMIF(第1节!$A$3:$A$313,A9,第1节!S$3:S$313)</f>
        <v/>
      </c>
      <c r="Y9" s="16">
        <f>SUMIF(第1节!$A$3:$A$313,A9,第1节!T$3:T$313)</f>
        <v/>
      </c>
      <c r="Z9" s="16">
        <f>X9+Y9</f>
        <v/>
      </c>
      <c r="AA9" s="16">
        <f>SUMIF(第1节!$A$3:$A$313,A9,第1节!V$3:V$313)</f>
        <v/>
      </c>
      <c r="AB9" s="16">
        <f>SUMIF(第1节!$A$3:$A$313,A9,第1节!W$3:W$313)</f>
        <v/>
      </c>
      <c r="AC9" s="16">
        <f>SUMIF(第1节!$A$3:$A$313,A9,第1节!X$3:X$313)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COUNTIF(第1节!$A$3:$A$313,A9)</f>
        <v/>
      </c>
      <c r="C10" s="15">
        <f>SUMIF(第1节!$A$3:$A$313,A9,第1节!$C$3:$C$313)-SUMIF(第1节!$A$3:$A$313,A9,第1节!$B$3:$B$313)</f>
        <v/>
      </c>
      <c r="D10" s="16">
        <f>SUMIF(第1节!$A$3:$A$313,A9,第1节!D$3:D$313)</f>
        <v/>
      </c>
      <c r="E10" s="16">
        <f>SUMIF(第1节!$A$3:$A$313,A9,第1节!E$3:E$313)</f>
        <v/>
      </c>
      <c r="F10" s="16">
        <f>SUMIF(第1节!$A$3:$A$313,A9,第1节!F$3:F$313)</f>
        <v/>
      </c>
      <c r="G10" s="44">
        <f>IF(D9=0,0,ROUND(F9/(D9*2),3))</f>
        <v/>
      </c>
      <c r="H10" s="16">
        <f>SUMIF(第1节!$A$3:$A$313,A9,第1节!G$3:G$313)</f>
        <v/>
      </c>
      <c r="I10" s="16">
        <f>SUMIF(第1节!$A$3:$A$313,A9,第1节!H$3:H$313)</f>
        <v/>
      </c>
      <c r="J10" s="16">
        <f>SUMIF(第1节!$A$3:$A$313,A9,第1节!I$3:I$313)</f>
        <v/>
      </c>
      <c r="K10" s="44">
        <f>IF(H9=0,0,ROUND(J9/(H9*2),3))</f>
        <v/>
      </c>
      <c r="L10" s="16">
        <f>SUMIF(第1节!$A$3:$A$313,A9,第1节!J$3:J$313)</f>
        <v/>
      </c>
      <c r="M10" s="16">
        <f>SUMIF(第1节!$A$3:$A$313,A9,第1节!K$3:K$313)</f>
        <v/>
      </c>
      <c r="N10" s="16">
        <f>SUMIF(第1节!$A$3:$A$313,A9,第1节!L$3:L$313)</f>
        <v/>
      </c>
      <c r="O10" s="44">
        <f>IF(L9=0,0,ROUND(N9/(L9*3),3))</f>
        <v/>
      </c>
      <c r="P10" s="16">
        <f>SUMIF(第1节!$A$3:$A$313,A9,第1节!M$3:M$313)</f>
        <v/>
      </c>
      <c r="Q10" s="16">
        <f>SUMIF(第1节!$A$3:$A$313,A9,第1节!N$3:N$313)</f>
        <v/>
      </c>
      <c r="R10" s="16">
        <f>SUMIF(第1节!$A$3:$A$313,A9,第1节!O$3:O$313)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SUMIF(第1节!$A$3:$A$313,A9,第1节!S$3:S$313)</f>
        <v/>
      </c>
      <c r="Y10" s="16">
        <f>SUMIF(第1节!$A$3:$A$313,A9,第1节!T$3:T$313)</f>
        <v/>
      </c>
      <c r="Z10" s="16">
        <f>X9+Y9</f>
        <v/>
      </c>
      <c r="AA10" s="16">
        <f>SUMIF(第1节!$A$3:$A$313,A9,第1节!V$3:V$313)</f>
        <v/>
      </c>
      <c r="AB10" s="16">
        <f>SUMIF(第1节!$A$3:$A$313,A9,第1节!W$3:W$313)</f>
        <v/>
      </c>
      <c r="AC10" s="16">
        <f>SUMIF(第1节!$A$3:$A$313,A9,第1节!X$3:X$313)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COUNTIF(第1节!$A$3:$A$313,A9)</f>
        <v/>
      </c>
      <c r="C11" s="15">
        <f>SUMIF(第1节!$A$3:$A$313,A9,第1节!$C$3:$C$313)-SUMIF(第1节!$A$3:$A$313,A9,第1节!$B$3:$B$313)</f>
        <v/>
      </c>
      <c r="D11" s="16">
        <f>SUMIF(第1节!$A$3:$A$313,A9,第1节!D$3:D$313)</f>
        <v/>
      </c>
      <c r="E11" s="16">
        <f>SUMIF(第1节!$A$3:$A$313,A9,第1节!E$3:E$313)</f>
        <v/>
      </c>
      <c r="F11" s="16">
        <f>SUMIF(第1节!$A$3:$A$313,A9,第1节!F$3:F$313)</f>
        <v/>
      </c>
      <c r="G11" s="44">
        <f>IF(D9=0,0,ROUND(F9/(D9*2),3))</f>
        <v/>
      </c>
      <c r="H11" s="16">
        <f>SUMIF(第1节!$A$3:$A$313,A9,第1节!G$3:G$313)</f>
        <v/>
      </c>
      <c r="I11" s="16">
        <f>SUMIF(第1节!$A$3:$A$313,A9,第1节!H$3:H$313)</f>
        <v/>
      </c>
      <c r="J11" s="16">
        <f>SUMIF(第1节!$A$3:$A$313,A9,第1节!I$3:I$313)</f>
        <v/>
      </c>
      <c r="K11" s="44">
        <f>IF(H9=0,0,ROUND(J9/(H9*2),3))</f>
        <v/>
      </c>
      <c r="L11" s="16">
        <f>SUMIF(第1节!$A$3:$A$313,A9,第1节!J$3:J$313)</f>
        <v/>
      </c>
      <c r="M11" s="16">
        <f>SUMIF(第1节!$A$3:$A$313,A9,第1节!K$3:K$313)</f>
        <v/>
      </c>
      <c r="N11" s="16">
        <f>SUMIF(第1节!$A$3:$A$313,A9,第1节!L$3:L$313)</f>
        <v/>
      </c>
      <c r="O11" s="44">
        <f>IF(L9=0,0,ROUND(N9/(L9*3),3))</f>
        <v/>
      </c>
      <c r="P11" s="16">
        <f>SUMIF(第1节!$A$3:$A$313,A9,第1节!M$3:M$313)</f>
        <v/>
      </c>
      <c r="Q11" s="16">
        <f>SUMIF(第1节!$A$3:$A$313,A9,第1节!N$3:N$313)</f>
        <v/>
      </c>
      <c r="R11" s="16">
        <f>SUMIF(第1节!$A$3:$A$313,A9,第1节!O$3:O$313)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SUMIF(第1节!$A$3:$A$313,A9,第1节!S$3:S$313)</f>
        <v/>
      </c>
      <c r="Y11" s="16">
        <f>SUMIF(第1节!$A$3:$A$313,A9,第1节!T$3:T$313)</f>
        <v/>
      </c>
      <c r="Z11" s="16">
        <f>X9+Y9</f>
        <v/>
      </c>
      <c r="AA11" s="16">
        <f>SUMIF(第1节!$A$3:$A$313,A9,第1节!V$3:V$313)</f>
        <v/>
      </c>
      <c r="AB11" s="16">
        <f>SUMIF(第1节!$A$3:$A$313,A9,第1节!W$3:W$313)</f>
        <v/>
      </c>
      <c r="AC11" s="16">
        <f>SUMIF(第1节!$A$3:$A$313,A9,第1节!X$3:X$313)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COUNTIF(第1节!$A$3:$A$313,A9)</f>
        <v/>
      </c>
      <c r="C12" s="15">
        <f>SUMIF(第1节!$A$3:$A$313,A9,第1节!$C$3:$C$313)-SUMIF(第1节!$A$3:$A$313,A9,第1节!$B$3:$B$313)</f>
        <v/>
      </c>
      <c r="D12" s="16">
        <f>SUMIF(第1节!$A$3:$A$313,A9,第1节!D$3:D$313)</f>
        <v/>
      </c>
      <c r="E12" s="16">
        <f>SUMIF(第1节!$A$3:$A$313,A9,第1节!E$3:E$313)</f>
        <v/>
      </c>
      <c r="F12" s="16">
        <f>SUMIF(第1节!$A$3:$A$313,A9,第1节!F$3:F$313)</f>
        <v/>
      </c>
      <c r="G12" s="44">
        <f>IF(D9=0,0,ROUND(F9/(D9*2),3))</f>
        <v/>
      </c>
      <c r="H12" s="16">
        <f>SUMIF(第1节!$A$3:$A$313,A9,第1节!G$3:G$313)</f>
        <v/>
      </c>
      <c r="I12" s="16">
        <f>SUMIF(第1节!$A$3:$A$313,A9,第1节!H$3:H$313)</f>
        <v/>
      </c>
      <c r="J12" s="16">
        <f>SUMIF(第1节!$A$3:$A$313,A9,第1节!I$3:I$313)</f>
        <v/>
      </c>
      <c r="K12" s="44">
        <f>IF(H9=0,0,ROUND(J9/(H9*2),3))</f>
        <v/>
      </c>
      <c r="L12" s="16">
        <f>SUMIF(第1节!$A$3:$A$313,A9,第1节!J$3:J$313)</f>
        <v/>
      </c>
      <c r="M12" s="16">
        <f>SUMIF(第1节!$A$3:$A$313,A9,第1节!K$3:K$313)</f>
        <v/>
      </c>
      <c r="N12" s="16">
        <f>SUMIF(第1节!$A$3:$A$313,A9,第1节!L$3:L$313)</f>
        <v/>
      </c>
      <c r="O12" s="44">
        <f>IF(L9=0,0,ROUND(N9/(L9*3),3))</f>
        <v/>
      </c>
      <c r="P12" s="16">
        <f>SUMIF(第1节!$A$3:$A$313,A9,第1节!M$3:M$313)</f>
        <v/>
      </c>
      <c r="Q12" s="16">
        <f>SUMIF(第1节!$A$3:$A$313,A9,第1节!N$3:N$313)</f>
        <v/>
      </c>
      <c r="R12" s="16">
        <f>SUMIF(第1节!$A$3:$A$313,A9,第1节!O$3:O$313)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SUMIF(第1节!$A$3:$A$313,A9,第1节!S$3:S$313)</f>
        <v/>
      </c>
      <c r="Y12" s="16">
        <f>SUMIF(第1节!$A$3:$A$313,A9,第1节!T$3:T$313)</f>
        <v/>
      </c>
      <c r="Z12" s="16">
        <f>X9+Y9</f>
        <v/>
      </c>
      <c r="AA12" s="16">
        <f>SUMIF(第1节!$A$3:$A$313,A9,第1节!V$3:V$313)</f>
        <v/>
      </c>
      <c r="AB12" s="16">
        <f>SUMIF(第1节!$A$3:$A$313,A9,第1节!W$3:W$313)</f>
        <v/>
      </c>
      <c r="AC12" s="16">
        <f>SUMIF(第1节!$A$3:$A$313,A9,第1节!X$3:X$313)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COUNTIF(第1节!$A$3:$A$313,A9)</f>
        <v/>
      </c>
      <c r="C13" s="15">
        <f>SUMIF(第1节!$A$3:$A$313,A9,第1节!$C$3:$C$313)-SUMIF(第1节!$A$3:$A$313,A9,第1节!$B$3:$B$313)</f>
        <v/>
      </c>
      <c r="D13" s="16">
        <f>SUMIF(第1节!$A$3:$A$313,A9,第1节!D$3:D$313)</f>
        <v/>
      </c>
      <c r="E13" s="16">
        <f>SUMIF(第1节!$A$3:$A$313,A9,第1节!E$3:E$313)</f>
        <v/>
      </c>
      <c r="F13" s="16">
        <f>SUMIF(第1节!$A$3:$A$313,A9,第1节!F$3:F$313)</f>
        <v/>
      </c>
      <c r="G13" s="44">
        <f>IF(D9=0,0,ROUND(F9/(D9*2),3))</f>
        <v/>
      </c>
      <c r="H13" s="16">
        <f>SUMIF(第1节!$A$3:$A$313,A9,第1节!G$3:G$313)</f>
        <v/>
      </c>
      <c r="I13" s="16">
        <f>SUMIF(第1节!$A$3:$A$313,A9,第1节!H$3:H$313)</f>
        <v/>
      </c>
      <c r="J13" s="16">
        <f>SUMIF(第1节!$A$3:$A$313,A9,第1节!I$3:I$313)</f>
        <v/>
      </c>
      <c r="K13" s="44">
        <f>IF(H9=0,0,ROUND(J9/(H9*2),3))</f>
        <v/>
      </c>
      <c r="L13" s="16">
        <f>SUMIF(第1节!$A$3:$A$313,A9,第1节!J$3:J$313)</f>
        <v/>
      </c>
      <c r="M13" s="16">
        <f>SUMIF(第1节!$A$3:$A$313,A9,第1节!K$3:K$313)</f>
        <v/>
      </c>
      <c r="N13" s="16">
        <f>SUMIF(第1节!$A$3:$A$313,A9,第1节!L$3:L$313)</f>
        <v/>
      </c>
      <c r="O13" s="44">
        <f>IF(L9=0,0,ROUND(N9/(L9*3),3))</f>
        <v/>
      </c>
      <c r="P13" s="16">
        <f>SUMIF(第1节!$A$3:$A$313,A9,第1节!M$3:M$313)</f>
        <v/>
      </c>
      <c r="Q13" s="16">
        <f>SUMIF(第1节!$A$3:$A$313,A9,第1节!N$3:N$313)</f>
        <v/>
      </c>
      <c r="R13" s="16">
        <f>SUMIF(第1节!$A$3:$A$313,A9,第1节!O$3:O$313)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SUMIF(第1节!$A$3:$A$313,A9,第1节!S$3:S$313)</f>
        <v/>
      </c>
      <c r="Y13" s="16">
        <f>SUMIF(第1节!$A$3:$A$313,A9,第1节!T$3:T$313)</f>
        <v/>
      </c>
      <c r="Z13" s="16">
        <f>X9+Y9</f>
        <v/>
      </c>
      <c r="AA13" s="16">
        <f>SUMIF(第1节!$A$3:$A$313,A9,第1节!V$3:V$313)</f>
        <v/>
      </c>
      <c r="AB13" s="16">
        <f>SUMIF(第1节!$A$3:$A$313,A9,第1节!W$3:W$313)</f>
        <v/>
      </c>
      <c r="AC13" s="16">
        <f>SUMIF(第1节!$A$3:$A$313,A9,第1节!X$3:X$313)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COUNTIF(第1节!$A$3:$A$313,A9)</f>
        <v/>
      </c>
      <c r="C14" s="15">
        <f>SUMIF(第1节!$A$3:$A$313,A9,第1节!$C$3:$C$313)-SUMIF(第1节!$A$3:$A$313,A9,第1节!$B$3:$B$313)</f>
        <v/>
      </c>
      <c r="D14" s="16">
        <f>SUMIF(第1节!$A$3:$A$313,A9,第1节!D$3:D$313)</f>
        <v/>
      </c>
      <c r="E14" s="16">
        <f>SUMIF(第1节!$A$3:$A$313,A9,第1节!E$3:E$313)</f>
        <v/>
      </c>
      <c r="F14" s="16">
        <f>SUMIF(第1节!$A$3:$A$313,A9,第1节!F$3:F$313)</f>
        <v/>
      </c>
      <c r="G14" s="44">
        <f>IF(D9=0,0,ROUND(F9/(D9*2),3))</f>
        <v/>
      </c>
      <c r="H14" s="16">
        <f>SUMIF(第1节!$A$3:$A$313,A9,第1节!G$3:G$313)</f>
        <v/>
      </c>
      <c r="I14" s="16">
        <f>SUMIF(第1节!$A$3:$A$313,A9,第1节!H$3:H$313)</f>
        <v/>
      </c>
      <c r="J14" s="16">
        <f>SUMIF(第1节!$A$3:$A$313,A9,第1节!I$3:I$313)</f>
        <v/>
      </c>
      <c r="K14" s="44">
        <f>IF(H9=0,0,ROUND(J9/(H9*2),3))</f>
        <v/>
      </c>
      <c r="L14" s="16">
        <f>SUMIF(第1节!$A$3:$A$313,A9,第1节!J$3:J$313)</f>
        <v/>
      </c>
      <c r="M14" s="16">
        <f>SUMIF(第1节!$A$3:$A$313,A9,第1节!K$3:K$313)</f>
        <v/>
      </c>
      <c r="N14" s="16">
        <f>SUMIF(第1节!$A$3:$A$313,A9,第1节!L$3:L$313)</f>
        <v/>
      </c>
      <c r="O14" s="44">
        <f>IF(L9=0,0,ROUND(N9/(L9*3),3))</f>
        <v/>
      </c>
      <c r="P14" s="16">
        <f>SUMIF(第1节!$A$3:$A$313,A9,第1节!M$3:M$313)</f>
        <v/>
      </c>
      <c r="Q14" s="16">
        <f>SUMIF(第1节!$A$3:$A$313,A9,第1节!N$3:N$313)</f>
        <v/>
      </c>
      <c r="R14" s="16">
        <f>SUMIF(第1节!$A$3:$A$313,A9,第1节!O$3:O$313)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SUMIF(第1节!$A$3:$A$313,A9,第1节!S$3:S$313)</f>
        <v/>
      </c>
      <c r="Y14" s="16">
        <f>SUMIF(第1节!$A$3:$A$313,A9,第1节!T$3:T$313)</f>
        <v/>
      </c>
      <c r="Z14" s="16">
        <f>X9+Y9</f>
        <v/>
      </c>
      <c r="AA14" s="16">
        <f>SUMIF(第1节!$A$3:$A$313,A9,第1节!V$3:V$313)</f>
        <v/>
      </c>
      <c r="AB14" s="16">
        <f>SUMIF(第1节!$A$3:$A$313,A9,第1节!W$3:W$313)</f>
        <v/>
      </c>
      <c r="AC14" s="16">
        <f>SUMIF(第1节!$A$3:$A$313,A9,第1节!X$3:X$313)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COUNTIF(第1节!$A$3:$A$313,A9)</f>
        <v/>
      </c>
      <c r="C15" s="15">
        <f>SUMIF(第1节!$A$3:$A$313,A9,第1节!$C$3:$C$313)-SUMIF(第1节!$A$3:$A$313,A9,第1节!$B$3:$B$313)</f>
        <v/>
      </c>
      <c r="D15" s="16">
        <f>SUMIF(第1节!$A$3:$A$313,A9,第1节!D$3:D$313)</f>
        <v/>
      </c>
      <c r="E15" s="16">
        <f>SUMIF(第1节!$A$3:$A$313,A9,第1节!E$3:E$313)</f>
        <v/>
      </c>
      <c r="F15" s="16">
        <f>SUMIF(第1节!$A$3:$A$313,A9,第1节!F$3:F$313)</f>
        <v/>
      </c>
      <c r="G15" s="44">
        <f>IF(D9=0,0,ROUND(F9/(D9*2),3))</f>
        <v/>
      </c>
      <c r="H15" s="16">
        <f>SUMIF(第1节!$A$3:$A$313,A9,第1节!G$3:G$313)</f>
        <v/>
      </c>
      <c r="I15" s="16">
        <f>SUMIF(第1节!$A$3:$A$313,A9,第1节!H$3:H$313)</f>
        <v/>
      </c>
      <c r="J15" s="16">
        <f>SUMIF(第1节!$A$3:$A$313,A9,第1节!I$3:I$313)</f>
        <v/>
      </c>
      <c r="K15" s="44">
        <f>IF(H9=0,0,ROUND(J9/(H9*2),3))</f>
        <v/>
      </c>
      <c r="L15" s="16">
        <f>SUMIF(第1节!$A$3:$A$313,A9,第1节!J$3:J$313)</f>
        <v/>
      </c>
      <c r="M15" s="16">
        <f>SUMIF(第1节!$A$3:$A$313,A9,第1节!K$3:K$313)</f>
        <v/>
      </c>
      <c r="N15" s="16">
        <f>SUMIF(第1节!$A$3:$A$313,A9,第1节!L$3:L$313)</f>
        <v/>
      </c>
      <c r="O15" s="44">
        <f>IF(L9=0,0,ROUND(N9/(L9*3),3))</f>
        <v/>
      </c>
      <c r="P15" s="16">
        <f>SUMIF(第1节!$A$3:$A$313,A9,第1节!M$3:M$313)</f>
        <v/>
      </c>
      <c r="Q15" s="16">
        <f>SUMIF(第1节!$A$3:$A$313,A9,第1节!N$3:N$313)</f>
        <v/>
      </c>
      <c r="R15" s="16">
        <f>SUMIF(第1节!$A$3:$A$313,A9,第1节!O$3:O$313)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SUMIF(第1节!$A$3:$A$313,A9,第1节!S$3:S$313)</f>
        <v/>
      </c>
      <c r="Y15" s="16">
        <f>SUMIF(第1节!$A$3:$A$313,A9,第1节!T$3:T$313)</f>
        <v/>
      </c>
      <c r="Z15" s="16">
        <f>X9+Y9</f>
        <v/>
      </c>
      <c r="AA15" s="16">
        <f>SUMIF(第1节!$A$3:$A$313,A9,第1节!V$3:V$313)</f>
        <v/>
      </c>
      <c r="AB15" s="16">
        <f>SUMIF(第1节!$A$3:$A$313,A9,第1节!W$3:W$313)</f>
        <v/>
      </c>
      <c r="AC15" s="16">
        <f>SUMIF(第1节!$A$3:$A$313,A9,第1节!X$3:X$313)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SUMPRODUCT(COUNTIF($A$11:$A$17,第1节!$A$3:$A$313))</f>
        <v/>
      </c>
      <c r="C16" s="20">
        <f>SUMPRODUCT(COUNTIF($A$11:$A$17,第1节!$A$3:$A$313),第1节!$C$3:$C$313)-SUMPRODUCT(COUNTIF($A$11:$A$17,第1节!$A$3:$A$313),第1节!$B$3:$B$313)</f>
        <v/>
      </c>
      <c r="D16" s="19">
        <f>SUMPRODUCT(COUNTIF($A$11:$A$17,第1节!$A$3:$A$313),第1节!D$3:D$313)</f>
        <v/>
      </c>
      <c r="E16" s="19">
        <f>SUMPRODUCT(COUNTIF($A$11:$A$17,第1节!$A$3:$A$313),第1节!E$3:E$313)</f>
        <v/>
      </c>
      <c r="F16" s="19">
        <f>SUMPRODUCT(COUNTIF($A$11:$A$17,第1节!$A$3:$A$313),第1节!F$3:F$313)</f>
        <v/>
      </c>
      <c r="G16" s="45">
        <f>IF(D10=0,0,ROUND(F10/(D10*2),3))</f>
        <v/>
      </c>
      <c r="H16" s="19">
        <f>SUMPRODUCT(COUNTIF($A$11:$A$17,第1节!$A$3:$A$313),第1节!G$3:G$313)</f>
        <v/>
      </c>
      <c r="I16" s="19">
        <f>SUMPRODUCT(COUNTIF($A$11:$A$17,第1节!$A$3:$A$313),第1节!H$3:H$313)</f>
        <v/>
      </c>
      <c r="J16" s="19">
        <f>SUMPRODUCT(COUNTIF($A$11:$A$17,第1节!$A$3:$A$313),第1节!I$3:I$313)</f>
        <v/>
      </c>
      <c r="K16" s="45">
        <f>IF(H10=0,0,ROUND(J10/(H10*2),3))</f>
        <v/>
      </c>
      <c r="L16" s="19">
        <f>SUMPRODUCT(COUNTIF($A$11:$A$17,第1节!$A$3:$A$313),第1节!J$3:J$313)</f>
        <v/>
      </c>
      <c r="M16" s="19">
        <f>SUMPRODUCT(COUNTIF($A$11:$A$17,第1节!$A$3:$A$313),第1节!K$3:K$313)</f>
        <v/>
      </c>
      <c r="N16" s="19">
        <f>SUMPRODUCT(COUNTIF($A$11:$A$17,第1节!$A$3:$A$313),第1节!L$3:L$313)</f>
        <v/>
      </c>
      <c r="O16" s="45">
        <f>IF(L10=0,0,ROUND(N10/(L10*3),3))</f>
        <v/>
      </c>
      <c r="P16" s="19">
        <f>SUMPRODUCT(COUNTIF($A$11:$A$17,第1节!$A$3:$A$313),第1节!M$3:M$313)</f>
        <v/>
      </c>
      <c r="Q16" s="19">
        <f>SUMPRODUCT(COUNTIF($A$11:$A$17,第1节!$A$3:$A$313),第1节!N$3:N$313)</f>
        <v/>
      </c>
      <c r="R16" s="19">
        <f>SUMPRODUCT(COUNTIF($A$11:$A$17,第1节!$A$3:$A$313),第1节!O$3:O$313)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SUMPRODUCT(COUNTIF($A$11:$A$17,第1节!$A$3:$A$313),第1节!S$3:S$313)</f>
        <v/>
      </c>
      <c r="Y16" s="19">
        <f>SUMPRODUCT(COUNTIF($A$11:$A$17,第1节!$A$3:$A$313),第1节!T$3:T$313)</f>
        <v/>
      </c>
      <c r="Z16" s="19">
        <f>X10+Y10</f>
        <v/>
      </c>
      <c r="AA16" s="19">
        <f>SUMPRODUCT(COUNTIF($A$11:$A$17,第1节!$A$3:$A$313),第1节!V$3:V$313)</f>
        <v/>
      </c>
      <c r="AB16" s="19">
        <f>SUMPRODUCT(COUNTIF($A$11:$A$17,第1节!$A$3:$A$313),第1节!W$3:W$313)</f>
        <v/>
      </c>
      <c r="AC16" s="19">
        <f>SUMPRODUCT(COUNTIF($A$11:$A$17,第1节!$A$3:$A$313),第1节!X$3:X$313)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COUNTIF(第1节!$A$3:$A$313,A11)</f>
        <v/>
      </c>
      <c r="C17" s="24">
        <f>SUMIF(第1节!$A$3:$A$313,A11,第1节!$C$3:$C$313)-SUMIF(第1节!$A$3:$A$313,A11,第1节!$B$3:$B$313)</f>
        <v/>
      </c>
      <c r="D17" s="25">
        <f>SUMIF(第1节!$A$3:$A$313,A11,第1节!D$3:D$313)</f>
        <v/>
      </c>
      <c r="E17" s="25">
        <f>SUMIF(第1节!$A$3:$A$313,A11,第1节!E$3:E$313)</f>
        <v/>
      </c>
      <c r="F17" s="25">
        <f>SUMIF(第1节!$A$3:$A$313,A11,第1节!F$3:F$313)</f>
        <v/>
      </c>
      <c r="G17" s="46">
        <f>IF(D11=0,0,ROUND(F11/(D11*2),3))</f>
        <v/>
      </c>
      <c r="H17" s="25">
        <f>SUMIF(第1节!$A$3:$A$313,A11,第1节!G$3:G$313)</f>
        <v/>
      </c>
      <c r="I17" s="25">
        <f>SUMIF(第1节!$A$3:$A$313,A11,第1节!H$3:H$313)</f>
        <v/>
      </c>
      <c r="J17" s="25">
        <f>SUMIF(第1节!$A$3:$A$313,A11,第1节!I$3:I$313)</f>
        <v/>
      </c>
      <c r="K17" s="46">
        <f>IF(H11=0,0,ROUND(J11/(H11*2),3))</f>
        <v/>
      </c>
      <c r="L17" s="25">
        <f>SUMIF(第1节!$A$3:$A$313,A11,第1节!J$3:J$313)</f>
        <v/>
      </c>
      <c r="M17" s="25">
        <f>SUMIF(第1节!$A$3:$A$313,A11,第1节!K$3:K$313)</f>
        <v/>
      </c>
      <c r="N17" s="25">
        <f>SUMIF(第1节!$A$3:$A$313,A11,第1节!L$3:L$313)</f>
        <v/>
      </c>
      <c r="O17" s="46">
        <f>IF(L11=0,0,ROUND(N11/(L11*3),3))</f>
        <v/>
      </c>
      <c r="P17" s="25">
        <f>SUMIF(第1节!$A$3:$A$313,A11,第1节!M$3:M$313)</f>
        <v/>
      </c>
      <c r="Q17" s="25">
        <f>SUMIF(第1节!$A$3:$A$313,A11,第1节!N$3:N$313)</f>
        <v/>
      </c>
      <c r="R17" s="25">
        <f>SUMIF(第1节!$A$3:$A$313,A11,第1节!O$3:O$313)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SUMIF(第1节!$A$3:$A$313,A11,第1节!S$3:S$313)</f>
        <v/>
      </c>
      <c r="Y17" s="25">
        <f>SUMIF(第1节!$A$3:$A$313,A11,第1节!T$3:T$313)</f>
        <v/>
      </c>
      <c r="Z17" s="25">
        <f>X11+Y11</f>
        <v/>
      </c>
      <c r="AA17" s="25">
        <f>SUMIF(第1节!$A$3:$A$313,A11,第1节!V$3:V$313)</f>
        <v/>
      </c>
      <c r="AB17" s="25">
        <f>SUMIF(第1节!$A$3:$A$313,A11,第1节!W$3:W$313)</f>
        <v/>
      </c>
      <c r="AC17" s="25">
        <f>SUMIF(第1节!$A$3:$A$313,A11,第1节!X$3:X$313)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COUNTIF(第1节!$A$3:$A$313,A12)</f>
        <v/>
      </c>
      <c r="C18" s="24">
        <f>SUMIF(第1节!$A$3:$A$313,A12,第1节!$C$3:$C$313)-SUMIF(第1节!$A$3:$A$313,A12,第1节!$B$3:$B$313)</f>
        <v/>
      </c>
      <c r="D18" s="25">
        <f>SUMIF(第1节!$A$3:$A$313,A12,第1节!D$3:D$313)</f>
        <v/>
      </c>
      <c r="E18" s="25">
        <f>SUMIF(第1节!$A$3:$A$313,A12,第1节!E$3:E$313)</f>
        <v/>
      </c>
      <c r="F18" s="25">
        <f>SUMIF(第1节!$A$3:$A$313,A12,第1节!F$3:F$313)</f>
        <v/>
      </c>
      <c r="G18" s="46">
        <f>IF(D12=0,0,ROUND(F12/(D12*2),3))</f>
        <v/>
      </c>
      <c r="H18" s="25">
        <f>SUMIF(第1节!$A$3:$A$313,A12,第1节!G$3:G$313)</f>
        <v/>
      </c>
      <c r="I18" s="25">
        <f>SUMIF(第1节!$A$3:$A$313,A12,第1节!H$3:H$313)</f>
        <v/>
      </c>
      <c r="J18" s="25">
        <f>SUMIF(第1节!$A$3:$A$313,A12,第1节!I$3:I$313)</f>
        <v/>
      </c>
      <c r="K18" s="46">
        <f>IF(H12=0,0,ROUND(J12/(H12*2),3))</f>
        <v/>
      </c>
      <c r="L18" s="25">
        <f>SUMIF(第1节!$A$3:$A$313,A12,第1节!J$3:J$313)</f>
        <v/>
      </c>
      <c r="M18" s="25">
        <f>SUMIF(第1节!$A$3:$A$313,A12,第1节!K$3:K$313)</f>
        <v/>
      </c>
      <c r="N18" s="25">
        <f>SUMIF(第1节!$A$3:$A$313,A12,第1节!L$3:L$313)</f>
        <v/>
      </c>
      <c r="O18" s="46">
        <f>IF(L12=0,0,ROUND(N12/(L12*3),3))</f>
        <v/>
      </c>
      <c r="P18" s="25">
        <f>SUMIF(第1节!$A$3:$A$313,A12,第1节!M$3:M$313)</f>
        <v/>
      </c>
      <c r="Q18" s="25">
        <f>SUMIF(第1节!$A$3:$A$313,A12,第1节!N$3:N$313)</f>
        <v/>
      </c>
      <c r="R18" s="25">
        <f>SUMIF(第1节!$A$3:$A$313,A12,第1节!O$3:O$313)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SUMIF(第1节!$A$3:$A$313,A12,第1节!S$3:S$313)</f>
        <v/>
      </c>
      <c r="Y18" s="25">
        <f>SUMIF(第1节!$A$3:$A$313,A12,第1节!T$3:T$313)</f>
        <v/>
      </c>
      <c r="Z18" s="25">
        <f>X12+Y12</f>
        <v/>
      </c>
      <c r="AA18" s="25">
        <f>SUMIF(第1节!$A$3:$A$313,A12,第1节!V$3:V$313)</f>
        <v/>
      </c>
      <c r="AB18" s="25">
        <f>SUMIF(第1节!$A$3:$A$313,A12,第1节!W$3:W$313)</f>
        <v/>
      </c>
      <c r="AC18" s="25">
        <f>SUMIF(第1节!$A$3:$A$313,A12,第1节!X$3:X$313)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COUNTIF(第1节!$A$3:$A$313,A13)</f>
        <v/>
      </c>
      <c r="C19" s="24">
        <f>SUMIF(第1节!$A$3:$A$313,A13,第1节!$C$3:$C$313)-SUMIF(第1节!$A$3:$A$313,A13,第1节!$B$3:$B$313)</f>
        <v/>
      </c>
      <c r="D19" s="25">
        <f>SUMIF(第1节!$A$3:$A$313,A13,第1节!D$3:D$313)</f>
        <v/>
      </c>
      <c r="E19" s="25">
        <f>SUMIF(第1节!$A$3:$A$313,A13,第1节!E$3:E$313)</f>
        <v/>
      </c>
      <c r="F19" s="25">
        <f>SUMIF(第1节!$A$3:$A$313,A13,第1节!F$3:F$313)</f>
        <v/>
      </c>
      <c r="G19" s="46">
        <f>IF(D13=0,0,ROUND(F13/(D13*2),3))</f>
        <v/>
      </c>
      <c r="H19" s="25">
        <f>SUMIF(第1节!$A$3:$A$313,A13,第1节!G$3:G$313)</f>
        <v/>
      </c>
      <c r="I19" s="25">
        <f>SUMIF(第1节!$A$3:$A$313,A13,第1节!H$3:H$313)</f>
        <v/>
      </c>
      <c r="J19" s="25">
        <f>SUMIF(第1节!$A$3:$A$313,A13,第1节!I$3:I$313)</f>
        <v/>
      </c>
      <c r="K19" s="46">
        <f>IF(H13=0,0,ROUND(J13/(H13*2),3))</f>
        <v/>
      </c>
      <c r="L19" s="25">
        <f>SUMIF(第1节!$A$3:$A$313,A13,第1节!J$3:J$313)</f>
        <v/>
      </c>
      <c r="M19" s="25">
        <f>SUMIF(第1节!$A$3:$A$313,A13,第1节!K$3:K$313)</f>
        <v/>
      </c>
      <c r="N19" s="25">
        <f>SUMIF(第1节!$A$3:$A$313,A13,第1节!L$3:L$313)</f>
        <v/>
      </c>
      <c r="O19" s="46">
        <f>IF(L13=0,0,ROUND(N13/(L13*3),3))</f>
        <v/>
      </c>
      <c r="P19" s="25">
        <f>SUMIF(第1节!$A$3:$A$313,A13,第1节!M$3:M$313)</f>
        <v/>
      </c>
      <c r="Q19" s="25">
        <f>SUMIF(第1节!$A$3:$A$313,A13,第1节!N$3:N$313)</f>
        <v/>
      </c>
      <c r="R19" s="25">
        <f>SUMIF(第1节!$A$3:$A$313,A13,第1节!O$3:O$313)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SUMIF(第1节!$A$3:$A$313,A13,第1节!S$3:S$313)</f>
        <v/>
      </c>
      <c r="Y19" s="25">
        <f>SUMIF(第1节!$A$3:$A$313,A13,第1节!T$3:T$313)</f>
        <v/>
      </c>
      <c r="Z19" s="25">
        <f>X13+Y13</f>
        <v/>
      </c>
      <c r="AA19" s="25">
        <f>SUMIF(第1节!$A$3:$A$313,A13,第1节!V$3:V$313)</f>
        <v/>
      </c>
      <c r="AB19" s="25">
        <f>SUMIF(第1节!$A$3:$A$313,A13,第1节!W$3:W$313)</f>
        <v/>
      </c>
      <c r="AC19" s="25">
        <f>SUMIF(第1节!$A$3:$A$313,A13,第1节!X$3:X$313)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COUNTIF(第1节!$A$3:$A$313,A14)</f>
        <v/>
      </c>
      <c r="C20" s="24">
        <f>SUMIF(第1节!$A$3:$A$313,A14,第1节!$C$3:$C$313)-SUMIF(第1节!$A$3:$A$313,A14,第1节!$B$3:$B$313)</f>
        <v/>
      </c>
      <c r="D20" s="25">
        <f>SUMIF(第1节!$A$3:$A$313,A14,第1节!D$3:D$313)</f>
        <v/>
      </c>
      <c r="E20" s="25">
        <f>SUMIF(第1节!$A$3:$A$313,A14,第1节!E$3:E$313)</f>
        <v/>
      </c>
      <c r="F20" s="25">
        <f>SUMIF(第1节!$A$3:$A$313,A14,第1节!F$3:F$313)</f>
        <v/>
      </c>
      <c r="G20" s="46">
        <f>IF(D14=0,0,ROUND(F14/(D14*2),3))</f>
        <v/>
      </c>
      <c r="H20" s="25">
        <f>SUMIF(第1节!$A$3:$A$313,A14,第1节!G$3:G$313)</f>
        <v/>
      </c>
      <c r="I20" s="25">
        <f>SUMIF(第1节!$A$3:$A$313,A14,第1节!H$3:H$313)</f>
        <v/>
      </c>
      <c r="J20" s="25">
        <f>SUMIF(第1节!$A$3:$A$313,A14,第1节!I$3:I$313)</f>
        <v/>
      </c>
      <c r="K20" s="46">
        <f>IF(H14=0,0,ROUND(J14/(H14*2),3))</f>
        <v/>
      </c>
      <c r="L20" s="25">
        <f>SUMIF(第1节!$A$3:$A$313,A14,第1节!J$3:J$313)</f>
        <v/>
      </c>
      <c r="M20" s="25">
        <f>SUMIF(第1节!$A$3:$A$313,A14,第1节!K$3:K$313)</f>
        <v/>
      </c>
      <c r="N20" s="25">
        <f>SUMIF(第1节!$A$3:$A$313,A14,第1节!L$3:L$313)</f>
        <v/>
      </c>
      <c r="O20" s="46">
        <f>IF(L14=0,0,ROUND(N14/(L14*3),3))</f>
        <v/>
      </c>
      <c r="P20" s="25">
        <f>SUMIF(第1节!$A$3:$A$313,A14,第1节!M$3:M$313)</f>
        <v/>
      </c>
      <c r="Q20" s="25">
        <f>SUMIF(第1节!$A$3:$A$313,A14,第1节!N$3:N$313)</f>
        <v/>
      </c>
      <c r="R20" s="25">
        <f>SUMIF(第1节!$A$3:$A$313,A14,第1节!O$3:O$313)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SUMIF(第1节!$A$3:$A$313,A14,第1节!S$3:S$313)</f>
        <v/>
      </c>
      <c r="Y20" s="25">
        <f>SUMIF(第1节!$A$3:$A$313,A14,第1节!T$3:T$313)</f>
        <v/>
      </c>
      <c r="Z20" s="25">
        <f>X14+Y14</f>
        <v/>
      </c>
      <c r="AA20" s="25">
        <f>SUMIF(第1节!$A$3:$A$313,A14,第1节!V$3:V$313)</f>
        <v/>
      </c>
      <c r="AB20" s="25">
        <f>SUMIF(第1节!$A$3:$A$313,A14,第1节!W$3:W$313)</f>
        <v/>
      </c>
      <c r="AC20" s="25">
        <f>SUMIF(第1节!$A$3:$A$313,A14,第1节!X$3:X$313)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COUNTIF(第1节!$A$3:$A$313,A15)</f>
        <v/>
      </c>
      <c r="C21" s="24">
        <f>SUMIF(第1节!$A$3:$A$313,A15,第1节!$C$3:$C$313)-SUMIF(第1节!$A$3:$A$313,A15,第1节!$B$3:$B$313)</f>
        <v/>
      </c>
      <c r="D21" s="25">
        <f>SUMIF(第1节!$A$3:$A$313,A15,第1节!D$3:D$313)</f>
        <v/>
      </c>
      <c r="E21" s="25">
        <f>SUMIF(第1节!$A$3:$A$313,A15,第1节!E$3:E$313)</f>
        <v/>
      </c>
      <c r="F21" s="25">
        <f>SUMIF(第1节!$A$3:$A$313,A15,第1节!F$3:F$313)</f>
        <v/>
      </c>
      <c r="G21" s="46">
        <f>IF(D15=0,0,ROUND(F15/(D15*2),3))</f>
        <v/>
      </c>
      <c r="H21" s="25">
        <f>SUMIF(第1节!$A$3:$A$313,A15,第1节!G$3:G$313)</f>
        <v/>
      </c>
      <c r="I21" s="25">
        <f>SUMIF(第1节!$A$3:$A$313,A15,第1节!H$3:H$313)</f>
        <v/>
      </c>
      <c r="J21" s="25">
        <f>SUMIF(第1节!$A$3:$A$313,A15,第1节!I$3:I$313)</f>
        <v/>
      </c>
      <c r="K21" s="46">
        <f>IF(H15=0,0,ROUND(J15/(H15*2),3))</f>
        <v/>
      </c>
      <c r="L21" s="25">
        <f>SUMIF(第1节!$A$3:$A$313,A15,第1节!J$3:J$313)</f>
        <v/>
      </c>
      <c r="M21" s="25">
        <f>SUMIF(第1节!$A$3:$A$313,A15,第1节!K$3:K$313)</f>
        <v/>
      </c>
      <c r="N21" s="25">
        <f>SUMIF(第1节!$A$3:$A$313,A15,第1节!L$3:L$313)</f>
        <v/>
      </c>
      <c r="O21" s="46">
        <f>IF(L15=0,0,ROUND(N15/(L15*3),3))</f>
        <v/>
      </c>
      <c r="P21" s="25">
        <f>SUMIF(第1节!$A$3:$A$313,A15,第1节!M$3:M$313)</f>
        <v/>
      </c>
      <c r="Q21" s="25">
        <f>SUMIF(第1节!$A$3:$A$313,A15,第1节!N$3:N$313)</f>
        <v/>
      </c>
      <c r="R21" s="25">
        <f>SUMIF(第1节!$A$3:$A$313,A15,第1节!O$3:O$313)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SUMIF(第1节!$A$3:$A$313,A15,第1节!S$3:S$313)</f>
        <v/>
      </c>
      <c r="Y21" s="25">
        <f>SUMIF(第1节!$A$3:$A$313,A15,第1节!T$3:T$313)</f>
        <v/>
      </c>
      <c r="Z21" s="25">
        <f>X15+Y15</f>
        <v/>
      </c>
      <c r="AA21" s="25">
        <f>SUMIF(第1节!$A$3:$A$313,A15,第1节!V$3:V$313)</f>
        <v/>
      </c>
      <c r="AB21" s="25">
        <f>SUMIF(第1节!$A$3:$A$313,A15,第1节!W$3:W$313)</f>
        <v/>
      </c>
      <c r="AC21" s="25">
        <f>SUMIF(第1节!$A$3:$A$313,A15,第1节!X$3:X$313)</f>
        <v/>
      </c>
      <c r="AD21" s="27" t="n"/>
    </row>
    <row r="22">
      <c r="A22" s="23" t="inlineStr">
        <is>
          <t>许馨墨</t>
        </is>
      </c>
      <c r="B22" s="23">
        <f>COUNTIF(第1节!$A$3:$A$313,A16)</f>
        <v/>
      </c>
      <c r="C22" s="24">
        <f>SUMIF(第1节!$A$3:$A$313,A16,第1节!$C$3:$C$313)-SUMIF(第1节!$A$3:$A$313,A16,第1节!$B$3:$B$313)</f>
        <v/>
      </c>
      <c r="D22" s="25">
        <f>SUMIF(第1节!$A$3:$A$313,A16,第1节!D$3:D$313)</f>
        <v/>
      </c>
      <c r="E22" s="25">
        <f>SUMIF(第1节!$A$3:$A$313,A16,第1节!E$3:E$313)</f>
        <v/>
      </c>
      <c r="F22" s="25">
        <f>SUMIF(第1节!$A$3:$A$313,A16,第1节!F$3:F$313)</f>
        <v/>
      </c>
      <c r="G22" s="46">
        <f>IF(D16=0,0,ROUND(F16/(D16*2),3))</f>
        <v/>
      </c>
      <c r="H22" s="25">
        <f>SUMIF(第1节!$A$3:$A$313,A16,第1节!G$3:G$313)</f>
        <v/>
      </c>
      <c r="I22" s="25">
        <f>SUMIF(第1节!$A$3:$A$313,A16,第1节!H$3:H$313)</f>
        <v/>
      </c>
      <c r="J22" s="25">
        <f>SUMIF(第1节!$A$3:$A$313,A16,第1节!I$3:I$313)</f>
        <v/>
      </c>
      <c r="K22" s="46">
        <f>IF(H16=0,0,ROUND(J16/(H16*2),3))</f>
        <v/>
      </c>
      <c r="L22" s="25">
        <f>SUMIF(第1节!$A$3:$A$313,A16,第1节!J$3:J$313)</f>
        <v/>
      </c>
      <c r="M22" s="25">
        <f>SUMIF(第1节!$A$3:$A$313,A16,第1节!K$3:K$313)</f>
        <v/>
      </c>
      <c r="N22" s="25">
        <f>SUMIF(第1节!$A$3:$A$313,A16,第1节!L$3:L$313)</f>
        <v/>
      </c>
      <c r="O22" s="46">
        <f>IF(L16=0,0,ROUND(N16/(L16*3),3))</f>
        <v/>
      </c>
      <c r="P22" s="25">
        <f>SUMIF(第1节!$A$3:$A$313,A16,第1节!M$3:M$313)</f>
        <v/>
      </c>
      <c r="Q22" s="25">
        <f>SUMIF(第1节!$A$3:$A$313,A16,第1节!N$3:N$313)</f>
        <v/>
      </c>
      <c r="R22" s="25">
        <f>SUMIF(第1节!$A$3:$A$313,A16,第1节!O$3:O$313)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SUMIF(第1节!$A$3:$A$313,A16,第1节!S$3:S$313)</f>
        <v/>
      </c>
      <c r="Y22" s="25">
        <f>SUMIF(第1节!$A$3:$A$313,A16,第1节!T$3:T$313)</f>
        <v/>
      </c>
      <c r="Z22" s="25">
        <f>X16+Y16</f>
        <v/>
      </c>
      <c r="AA22" s="25">
        <f>SUMIF(第1节!$A$3:$A$313,A16,第1节!V$3:V$313)</f>
        <v/>
      </c>
      <c r="AB22" s="25">
        <f>SUMIF(第1节!$A$3:$A$313,A16,第1节!W$3:W$313)</f>
        <v/>
      </c>
      <c r="AC22" s="25">
        <f>SUMIF(第1节!$A$3:$A$313,A16,第1节!X$3:X$313)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COUNTIF(第1节!$A$3:$A$313,A17)</f>
        <v/>
      </c>
      <c r="C23" s="24">
        <f>SUMIF(第1节!$A$3:$A$313,A17,第1节!$C$3:$C$313)-SUMIF(第1节!$A$3:$A$313,A17,第1节!$B$3:$B$313)</f>
        <v/>
      </c>
      <c r="D23" s="25">
        <f>SUMIF(第1节!$A$3:$A$313,A17,第1节!D$3:D$313)</f>
        <v/>
      </c>
      <c r="E23" s="25">
        <f>SUMIF(第1节!$A$3:$A$313,A17,第1节!E$3:E$313)</f>
        <v/>
      </c>
      <c r="F23" s="25">
        <f>SUMIF(第1节!$A$3:$A$313,A17,第1节!F$3:F$313)</f>
        <v/>
      </c>
      <c r="G23" s="46">
        <f>IF(D17=0,0,ROUND(F17/(D17*2),3))</f>
        <v/>
      </c>
      <c r="H23" s="25">
        <f>SUMIF(第1节!$A$3:$A$313,A17,第1节!G$3:G$313)</f>
        <v/>
      </c>
      <c r="I23" s="25">
        <f>SUMIF(第1节!$A$3:$A$313,A17,第1节!H$3:H$313)</f>
        <v/>
      </c>
      <c r="J23" s="25">
        <f>SUMIF(第1节!$A$3:$A$313,A17,第1节!I$3:I$313)</f>
        <v/>
      </c>
      <c r="K23" s="46">
        <f>IF(H17=0,0,ROUND(J17/(H17*2),3))</f>
        <v/>
      </c>
      <c r="L23" s="25">
        <f>SUMIF(第1节!$A$3:$A$313,A17,第1节!J$3:J$313)</f>
        <v/>
      </c>
      <c r="M23" s="25">
        <f>SUMIF(第1节!$A$3:$A$313,A17,第1节!K$3:K$313)</f>
        <v/>
      </c>
      <c r="N23" s="25">
        <f>SUMIF(第1节!$A$3:$A$313,A17,第1节!L$3:L$313)</f>
        <v/>
      </c>
      <c r="O23" s="46">
        <f>IF(L17=0,0,ROUND(N17/(L17*3),3))</f>
        <v/>
      </c>
      <c r="P23" s="25">
        <f>SUMIF(第1节!$A$3:$A$313,A17,第1节!M$3:M$313)</f>
        <v/>
      </c>
      <c r="Q23" s="25">
        <f>SUMIF(第1节!$A$3:$A$313,A17,第1节!N$3:N$313)</f>
        <v/>
      </c>
      <c r="R23" s="25">
        <f>SUMIF(第1节!$A$3:$A$313,A17,第1节!O$3:O$313)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SUMIF(第1节!$A$3:$A$313,A17,第1节!S$3:S$313)</f>
        <v/>
      </c>
      <c r="Y23" s="25">
        <f>SUMIF(第1节!$A$3:$A$313,A17,第1节!T$3:T$313)</f>
        <v/>
      </c>
      <c r="Z23" s="25">
        <f>X17+Y17</f>
        <v/>
      </c>
      <c r="AA23" s="25">
        <f>SUMIF(第1节!$A$3:$A$313,A17,第1节!V$3:V$313)</f>
        <v/>
      </c>
      <c r="AB23" s="25">
        <f>SUMIF(第1节!$A$3:$A$313,A17,第1节!W$3:W$313)</f>
        <v/>
      </c>
      <c r="AC23" s="25">
        <f>SUMIF(第1节!$A$3:$A$313,A17,第1节!X$3:X$313)</f>
        <v/>
      </c>
      <c r="AD23" s="27" t="n"/>
    </row>
    <row r="24">
      <c r="A24" s="23" t="inlineStr">
        <is>
          <t>B队球员8</t>
        </is>
      </c>
      <c r="B24" s="23">
        <f>COUNTIF(第1节!$A$3:$A$313,A17)</f>
        <v/>
      </c>
      <c r="C24" s="24">
        <f>SUMIF(第1节!$A$3:$A$313,A17,第1节!$C$3:$C$313)-SUMIF(第1节!$A$3:$A$313,A17,第1节!$B$3:$B$313)</f>
        <v/>
      </c>
      <c r="D24" s="25">
        <f>SUMIF(第1节!$A$3:$A$313,A17,第1节!D$3:D$313)</f>
        <v/>
      </c>
      <c r="E24" s="25">
        <f>SUMIF(第1节!$A$3:$A$313,A17,第1节!E$3:E$313)</f>
        <v/>
      </c>
      <c r="F24" s="25">
        <f>SUMIF(第1节!$A$3:$A$313,A17,第1节!F$3:F$313)</f>
        <v/>
      </c>
      <c r="G24" s="46">
        <f>IF(D17=0,0,ROUND(F17/(D17*2),3))</f>
        <v/>
      </c>
      <c r="H24" s="25">
        <f>SUMIF(第1节!$A$3:$A$313,A17,第1节!G$3:G$313)</f>
        <v/>
      </c>
      <c r="I24" s="25">
        <f>SUMIF(第1节!$A$3:$A$313,A17,第1节!H$3:H$313)</f>
        <v/>
      </c>
      <c r="J24" s="25">
        <f>SUMIF(第1节!$A$3:$A$313,A17,第1节!I$3:I$313)</f>
        <v/>
      </c>
      <c r="K24" s="46">
        <f>IF(H17=0,0,ROUND(J17/(H17*2),3))</f>
        <v/>
      </c>
      <c r="L24" s="25">
        <f>SUMIF(第1节!$A$3:$A$313,A17,第1节!J$3:J$313)</f>
        <v/>
      </c>
      <c r="M24" s="25">
        <f>SUMIF(第1节!$A$3:$A$313,A17,第1节!K$3:K$313)</f>
        <v/>
      </c>
      <c r="N24" s="25">
        <f>SUMIF(第1节!$A$3:$A$313,A17,第1节!L$3:L$313)</f>
        <v/>
      </c>
      <c r="O24" s="46">
        <f>IF(L17=0,0,ROUND(N17/(L17*3),3))</f>
        <v/>
      </c>
      <c r="P24" s="25">
        <f>SUMIF(第1节!$A$3:$A$313,A17,第1节!M$3:M$313)</f>
        <v/>
      </c>
      <c r="Q24" s="25">
        <f>SUMIF(第1节!$A$3:$A$313,A17,第1节!N$3:N$313)</f>
        <v/>
      </c>
      <c r="R24" s="25">
        <f>SUMIF(第1节!$A$3:$A$313,A17,第1节!O$3:O$313)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SUMIF(第1节!$A$3:$A$313,A17,第1节!S$3:S$313)</f>
        <v/>
      </c>
      <c r="Y24" s="25">
        <f>SUMIF(第1节!$A$3:$A$313,A17,第1节!T$3:T$313)</f>
        <v/>
      </c>
      <c r="Z24" s="25">
        <f>X17+Y17</f>
        <v/>
      </c>
      <c r="AA24" s="25">
        <f>SUMIF(第1节!$A$3:$A$313,A17,第1节!V$3:V$313)</f>
        <v/>
      </c>
      <c r="AB24" s="25">
        <f>SUMIF(第1节!$A$3:$A$313,A17,第1节!W$3:W$313)</f>
        <v/>
      </c>
      <c r="AC24" s="25">
        <f>SUMIF(第1节!$A$3:$A$313,A17,第1节!X$3:X$313)</f>
        <v/>
      </c>
      <c r="AD24" s="27" t="n"/>
    </row>
    <row r="25">
      <c r="A25" s="23" t="inlineStr">
        <is>
          <t>B队球员9</t>
        </is>
      </c>
      <c r="B25" s="23">
        <f>COUNTIF(第1节!$A$3:$A$313,A17)</f>
        <v/>
      </c>
      <c r="C25" s="24">
        <f>SUMIF(第1节!$A$3:$A$313,A17,第1节!$C$3:$C$313)-SUMIF(第1节!$A$3:$A$313,A17,第1节!$B$3:$B$313)</f>
        <v/>
      </c>
      <c r="D25" s="25">
        <f>SUMIF(第1节!$A$3:$A$313,A17,第1节!D$3:D$313)</f>
        <v/>
      </c>
      <c r="E25" s="25">
        <f>SUMIF(第1节!$A$3:$A$313,A17,第1节!E$3:E$313)</f>
        <v/>
      </c>
      <c r="F25" s="25">
        <f>SUMIF(第1节!$A$3:$A$313,A17,第1节!F$3:F$313)</f>
        <v/>
      </c>
      <c r="G25" s="46">
        <f>IF(D17=0,0,ROUND(F17/(D17*2),3))</f>
        <v/>
      </c>
      <c r="H25" s="25">
        <f>SUMIF(第1节!$A$3:$A$313,A17,第1节!G$3:G$313)</f>
        <v/>
      </c>
      <c r="I25" s="25">
        <f>SUMIF(第1节!$A$3:$A$313,A17,第1节!H$3:H$313)</f>
        <v/>
      </c>
      <c r="J25" s="25">
        <f>SUMIF(第1节!$A$3:$A$313,A17,第1节!I$3:I$313)</f>
        <v/>
      </c>
      <c r="K25" s="46">
        <f>IF(H17=0,0,ROUND(J17/(H17*2),3))</f>
        <v/>
      </c>
      <c r="L25" s="25">
        <f>SUMIF(第1节!$A$3:$A$313,A17,第1节!J$3:J$313)</f>
        <v/>
      </c>
      <c r="M25" s="25">
        <f>SUMIF(第1节!$A$3:$A$313,A17,第1节!K$3:K$313)</f>
        <v/>
      </c>
      <c r="N25" s="25">
        <f>SUMIF(第1节!$A$3:$A$313,A17,第1节!L$3:L$313)</f>
        <v/>
      </c>
      <c r="O25" s="46">
        <f>IF(L17=0,0,ROUND(N17/(L17*3),3))</f>
        <v/>
      </c>
      <c r="P25" s="25">
        <f>SUMIF(第1节!$A$3:$A$313,A17,第1节!M$3:M$313)</f>
        <v/>
      </c>
      <c r="Q25" s="25">
        <f>SUMIF(第1节!$A$3:$A$313,A17,第1节!N$3:N$313)</f>
        <v/>
      </c>
      <c r="R25" s="25">
        <f>SUMIF(第1节!$A$3:$A$313,A17,第1节!O$3:O$313)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SUMIF(第1节!$A$3:$A$313,A17,第1节!S$3:S$313)</f>
        <v/>
      </c>
      <c r="Y25" s="25">
        <f>SUMIF(第1节!$A$3:$A$313,A17,第1节!T$3:T$313)</f>
        <v/>
      </c>
      <c r="Z25" s="25">
        <f>X17+Y17</f>
        <v/>
      </c>
      <c r="AA25" s="25">
        <f>SUMIF(第1节!$A$3:$A$313,A17,第1节!V$3:V$313)</f>
        <v/>
      </c>
      <c r="AB25" s="25">
        <f>SUMIF(第1节!$A$3:$A$313,A17,第1节!W$3:W$313)</f>
        <v/>
      </c>
      <c r="AC25" s="25">
        <f>SUMIF(第1节!$A$3:$A$313,A17,第1节!X$3:X$313)</f>
        <v/>
      </c>
      <c r="AD25" s="27" t="n"/>
    </row>
    <row r="26">
      <c r="A26" s="23" t="inlineStr">
        <is>
          <t>B队球员10</t>
        </is>
      </c>
      <c r="B26" s="23">
        <f>COUNTIF(第1节!$A$3:$A$313,A17)</f>
        <v/>
      </c>
      <c r="C26" s="24">
        <f>SUMIF(第1节!$A$3:$A$313,A17,第1节!$C$3:$C$313)-SUMIF(第1节!$A$3:$A$313,A17,第1节!$B$3:$B$313)</f>
        <v/>
      </c>
      <c r="D26" s="25">
        <f>SUMIF(第1节!$A$3:$A$313,A17,第1节!D$3:D$313)</f>
        <v/>
      </c>
      <c r="E26" s="25">
        <f>SUMIF(第1节!$A$3:$A$313,A17,第1节!E$3:E$313)</f>
        <v/>
      </c>
      <c r="F26" s="25">
        <f>SUMIF(第1节!$A$3:$A$313,A17,第1节!F$3:F$313)</f>
        <v/>
      </c>
      <c r="G26" s="46">
        <f>IF(D17=0,0,ROUND(F17/(D17*2),3))</f>
        <v/>
      </c>
      <c r="H26" s="25">
        <f>SUMIF(第1节!$A$3:$A$313,A17,第1节!G$3:G$313)</f>
        <v/>
      </c>
      <c r="I26" s="25">
        <f>SUMIF(第1节!$A$3:$A$313,A17,第1节!H$3:H$313)</f>
        <v/>
      </c>
      <c r="J26" s="25">
        <f>SUMIF(第1节!$A$3:$A$313,A17,第1节!I$3:I$313)</f>
        <v/>
      </c>
      <c r="K26" s="46">
        <f>IF(H17=0,0,ROUND(J17/(H17*2),3))</f>
        <v/>
      </c>
      <c r="L26" s="25">
        <f>SUMIF(第1节!$A$3:$A$313,A17,第1节!J$3:J$313)</f>
        <v/>
      </c>
      <c r="M26" s="25">
        <f>SUMIF(第1节!$A$3:$A$313,A17,第1节!K$3:K$313)</f>
        <v/>
      </c>
      <c r="N26" s="25">
        <f>SUMIF(第1节!$A$3:$A$313,A17,第1节!L$3:L$313)</f>
        <v/>
      </c>
      <c r="O26" s="46">
        <f>IF(L17=0,0,ROUND(N17/(L17*3),3))</f>
        <v/>
      </c>
      <c r="P26" s="25">
        <f>SUMIF(第1节!$A$3:$A$313,A17,第1节!M$3:M$313)</f>
        <v/>
      </c>
      <c r="Q26" s="25">
        <f>SUMIF(第1节!$A$3:$A$313,A17,第1节!N$3:N$313)</f>
        <v/>
      </c>
      <c r="R26" s="25">
        <f>SUMIF(第1节!$A$3:$A$313,A17,第1节!O$3:O$313)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SUMIF(第1节!$A$3:$A$313,A17,第1节!S$3:S$313)</f>
        <v/>
      </c>
      <c r="Y26" s="25">
        <f>SUMIF(第1节!$A$3:$A$313,A17,第1节!T$3:T$313)</f>
        <v/>
      </c>
      <c r="Z26" s="25">
        <f>X17+Y17</f>
        <v/>
      </c>
      <c r="AA26" s="25">
        <f>SUMIF(第1节!$A$3:$A$313,A17,第1节!V$3:V$313)</f>
        <v/>
      </c>
      <c r="AB26" s="25">
        <f>SUMIF(第1节!$A$3:$A$313,A17,第1节!W$3:W$313)</f>
        <v/>
      </c>
      <c r="AC26" s="25">
        <f>SUMIF(第1节!$A$3:$A$313,A17,第1节!X$3:X$313)</f>
        <v/>
      </c>
      <c r="AD26" s="27" t="n"/>
    </row>
    <row r="27">
      <c r="A27" s="23" t="inlineStr">
        <is>
          <t>B队球员11</t>
        </is>
      </c>
      <c r="B27" s="23">
        <f>COUNTIF(第1节!$A$3:$A$313,A17)</f>
        <v/>
      </c>
      <c r="C27" s="24">
        <f>SUMIF(第1节!$A$3:$A$313,A17,第1节!$C$3:$C$313)-SUMIF(第1节!$A$3:$A$313,A17,第1节!$B$3:$B$313)</f>
        <v/>
      </c>
      <c r="D27" s="25">
        <f>SUMIF(第1节!$A$3:$A$313,A17,第1节!D$3:D$313)</f>
        <v/>
      </c>
      <c r="E27" s="25">
        <f>SUMIF(第1节!$A$3:$A$313,A17,第1节!E$3:E$313)</f>
        <v/>
      </c>
      <c r="F27" s="25">
        <f>SUMIF(第1节!$A$3:$A$313,A17,第1节!F$3:F$313)</f>
        <v/>
      </c>
      <c r="G27" s="46">
        <f>IF(D17=0,0,ROUND(F17/(D17*2),3))</f>
        <v/>
      </c>
      <c r="H27" s="25">
        <f>SUMIF(第1节!$A$3:$A$313,A17,第1节!G$3:G$313)</f>
        <v/>
      </c>
      <c r="I27" s="25">
        <f>SUMIF(第1节!$A$3:$A$313,A17,第1节!H$3:H$313)</f>
        <v/>
      </c>
      <c r="J27" s="25">
        <f>SUMIF(第1节!$A$3:$A$313,A17,第1节!I$3:I$313)</f>
        <v/>
      </c>
      <c r="K27" s="46">
        <f>IF(H17=0,0,ROUND(J17/(H17*2),3))</f>
        <v/>
      </c>
      <c r="L27" s="25">
        <f>SUMIF(第1节!$A$3:$A$313,A17,第1节!J$3:J$313)</f>
        <v/>
      </c>
      <c r="M27" s="25">
        <f>SUMIF(第1节!$A$3:$A$313,A17,第1节!K$3:K$313)</f>
        <v/>
      </c>
      <c r="N27" s="25">
        <f>SUMIF(第1节!$A$3:$A$313,A17,第1节!L$3:L$313)</f>
        <v/>
      </c>
      <c r="O27" s="46">
        <f>IF(L17=0,0,ROUND(N17/(L17*3),3))</f>
        <v/>
      </c>
      <c r="P27" s="25">
        <f>SUMIF(第1节!$A$3:$A$313,A17,第1节!M$3:M$313)</f>
        <v/>
      </c>
      <c r="Q27" s="25">
        <f>SUMIF(第1节!$A$3:$A$313,A17,第1节!N$3:N$313)</f>
        <v/>
      </c>
      <c r="R27" s="25">
        <f>SUMIF(第1节!$A$3:$A$313,A17,第1节!O$3:O$313)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SUMIF(第1节!$A$3:$A$313,A17,第1节!S$3:S$313)</f>
        <v/>
      </c>
      <c r="Y27" s="25">
        <f>SUMIF(第1节!$A$3:$A$313,A17,第1节!T$3:T$313)</f>
        <v/>
      </c>
      <c r="Z27" s="25">
        <f>X17+Y17</f>
        <v/>
      </c>
      <c r="AA27" s="25">
        <f>SUMIF(第1节!$A$3:$A$313,A17,第1节!V$3:V$313)</f>
        <v/>
      </c>
      <c r="AB27" s="25">
        <f>SUMIF(第1节!$A$3:$A$313,A17,第1节!W$3:W$313)</f>
        <v/>
      </c>
      <c r="AC27" s="25">
        <f>SUMIF(第1节!$A$3:$A$313,A17,第1节!X$3:X$313)</f>
        <v/>
      </c>
      <c r="AD27" s="27" t="n"/>
    </row>
    <row r="28">
      <c r="A28" s="23" t="inlineStr">
        <is>
          <t>B队球员12</t>
        </is>
      </c>
      <c r="B28" s="23">
        <f>COUNTIF(第1节!$A$3:$A$313,A17)</f>
        <v/>
      </c>
      <c r="C28" s="24">
        <f>SUMIF(第1节!$A$3:$A$313,A17,第1节!$C$3:$C$313)-SUMIF(第1节!$A$3:$A$313,A17,第1节!$B$3:$B$313)</f>
        <v/>
      </c>
      <c r="D28" s="25">
        <f>SUMIF(第1节!$A$3:$A$313,A17,第1节!D$3:D$313)</f>
        <v/>
      </c>
      <c r="E28" s="25">
        <f>SUMIF(第1节!$A$3:$A$313,A17,第1节!E$3:E$313)</f>
        <v/>
      </c>
      <c r="F28" s="25">
        <f>SUMIF(第1节!$A$3:$A$313,A17,第1节!F$3:F$313)</f>
        <v/>
      </c>
      <c r="G28" s="46">
        <f>IF(D17=0,0,ROUND(F17/(D17*2),3))</f>
        <v/>
      </c>
      <c r="H28" s="25">
        <f>SUMIF(第1节!$A$3:$A$313,A17,第1节!G$3:G$313)</f>
        <v/>
      </c>
      <c r="I28" s="25">
        <f>SUMIF(第1节!$A$3:$A$313,A17,第1节!H$3:H$313)</f>
        <v/>
      </c>
      <c r="J28" s="25">
        <f>SUMIF(第1节!$A$3:$A$313,A17,第1节!I$3:I$313)</f>
        <v/>
      </c>
      <c r="K28" s="46">
        <f>IF(H17=0,0,ROUND(J17/(H17*2),3))</f>
        <v/>
      </c>
      <c r="L28" s="25">
        <f>SUMIF(第1节!$A$3:$A$313,A17,第1节!J$3:J$313)</f>
        <v/>
      </c>
      <c r="M28" s="25">
        <f>SUMIF(第1节!$A$3:$A$313,A17,第1节!K$3:K$313)</f>
        <v/>
      </c>
      <c r="N28" s="25">
        <f>SUMIF(第1节!$A$3:$A$313,A17,第1节!L$3:L$313)</f>
        <v/>
      </c>
      <c r="O28" s="46">
        <f>IF(L17=0,0,ROUND(N17/(L17*3),3))</f>
        <v/>
      </c>
      <c r="P28" s="25">
        <f>SUMIF(第1节!$A$3:$A$313,A17,第1节!M$3:M$313)</f>
        <v/>
      </c>
      <c r="Q28" s="25">
        <f>SUMIF(第1节!$A$3:$A$313,A17,第1节!N$3:N$313)</f>
        <v/>
      </c>
      <c r="R28" s="25">
        <f>SUMIF(第1节!$A$3:$A$313,A17,第1节!O$3:O$313)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SUMIF(第1节!$A$3:$A$313,A17,第1节!S$3:S$313)</f>
        <v/>
      </c>
      <c r="Y28" s="25">
        <f>SUMIF(第1节!$A$3:$A$313,A17,第1节!T$3:T$313)</f>
        <v/>
      </c>
      <c r="Z28" s="25">
        <f>X17+Y17</f>
        <v/>
      </c>
      <c r="AA28" s="25">
        <f>SUMIF(第1节!$A$3:$A$313,A17,第1节!V$3:V$313)</f>
        <v/>
      </c>
      <c r="AB28" s="25">
        <f>SUMIF(第1节!$A$3:$A$313,A17,第1节!W$3:W$313)</f>
        <v/>
      </c>
      <c r="AC28" s="25">
        <f>SUMIF(第1节!$A$3:$A$313,A17,第1节!X$3:X$313)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SUMPRODUCT(COUNTIF($A$4:$A$9,第2节!$A$3:$A$313))</f>
        <v/>
      </c>
      <c r="C3" s="10">
        <f>SUMPRODUCT(COUNTIF($A$4:$A$9,第2节!$A$3:$A$313),第2节!$C$3:$C$313)-SUMPRODUCT(COUNTIF($A$4:$A$9,第2节!$A$3:$A$313),第2节!$B$3:$B$313)</f>
        <v/>
      </c>
      <c r="D3" s="11">
        <f>SUMPRODUCT(COUNTIF($A$4:$A$9,第2节!$A$3:$A$313),第2节!D$3:D$313)</f>
        <v/>
      </c>
      <c r="E3" s="11">
        <f>SUMPRODUCT(COUNTIF($A$4:$A$9,第2节!$A$3:$A$313),第2节!E$3:E$313)</f>
        <v/>
      </c>
      <c r="F3" s="11">
        <f>SUMPRODUCT(COUNTIF($A$4:$A$9,第2节!$A$3:$A$313),第2节!F$3:F$313)</f>
        <v/>
      </c>
      <c r="G3" s="43">
        <f>IF(D3=0,0,ROUND(F3/(D3*2),3))</f>
        <v/>
      </c>
      <c r="H3" s="11">
        <f>SUMPRODUCT(COUNTIF($A$4:$A$9,第2节!$A$3:$A$313),第2节!G$3:G$313)</f>
        <v/>
      </c>
      <c r="I3" s="11">
        <f>SUMPRODUCT(COUNTIF($A$4:$A$9,第2节!$A$3:$A$313),第2节!H$3:H$313)</f>
        <v/>
      </c>
      <c r="J3" s="11">
        <f>SUMPRODUCT(COUNTIF($A$4:$A$9,第2节!$A$3:$A$313),第2节!I$3:I$313)</f>
        <v/>
      </c>
      <c r="K3" s="43">
        <f>IF(H3=0,0,ROUND(J3/(H3*2),3))</f>
        <v/>
      </c>
      <c r="L3" s="11">
        <f>SUMPRODUCT(COUNTIF($A$4:$A$9,第2节!$A$3:$A$313),第2节!J$3:J$313)</f>
        <v/>
      </c>
      <c r="M3" s="11">
        <f>SUMPRODUCT(COUNTIF($A$4:$A$9,第2节!$A$3:$A$313),第2节!K$3:K$313)</f>
        <v/>
      </c>
      <c r="N3" s="11">
        <f>SUMPRODUCT(COUNTIF($A$4:$A$9,第2节!$A$3:$A$313),第2节!L$3:L$313)</f>
        <v/>
      </c>
      <c r="O3" s="43">
        <f>IF(L3=0,0,ROUND(N3/(L3*3),3))</f>
        <v/>
      </c>
      <c r="P3" s="11">
        <f>SUMPRODUCT(COUNTIF($A$4:$A$9,第2节!$A$3:$A$313),第2节!M$3:M$313)</f>
        <v/>
      </c>
      <c r="Q3" s="11">
        <f>SUMPRODUCT(COUNTIF($A$4:$A$9,第2节!$A$3:$A$313),第2节!N$3:N$313)</f>
        <v/>
      </c>
      <c r="R3" s="11">
        <f>SUMPRODUCT(COUNTIF($A$4:$A$9,第2节!$A$3:$A$313),第2节!O$3:O$313)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SUMPRODUCT(COUNTIF($A$4:$A$9,第2节!$A$3:$A$313),第2节!S$3:S$313)</f>
        <v/>
      </c>
      <c r="Y3" s="11">
        <f>SUMPRODUCT(COUNTIF($A$4:$A$9,第2节!$A$3:$A$313),第2节!T$3:T$313)</f>
        <v/>
      </c>
      <c r="Z3" s="11">
        <f>X3+Y3</f>
        <v/>
      </c>
      <c r="AA3" s="11">
        <f>SUMPRODUCT(COUNTIF($A$4:$A$9,第2节!$A$3:$A$313),第2节!V$3:V$313)</f>
        <v/>
      </c>
      <c r="AB3" s="11">
        <f>SUMPRODUCT(COUNTIF($A$4:$A$9,第2节!$A$3:$A$313),第2节!W$3:W$313)</f>
        <v/>
      </c>
      <c r="AC3" s="11">
        <f>SUMPRODUCT(COUNTIF($A$4:$A$9,第2节!$A$3:$A$313),第2节!X$3:X$313)</f>
        <v/>
      </c>
      <c r="AD3" s="13" t="n"/>
    </row>
    <row r="4" ht="22.5" customHeight="1">
      <c r="A4" s="14" t="inlineStr">
        <is>
          <t>陈赞安</t>
        </is>
      </c>
      <c r="B4" s="14">
        <f>COUNTIF(第2节!$A$3:$A$313,A4)</f>
        <v/>
      </c>
      <c r="C4" s="15">
        <f>SUMIF(第2节!$A$3:$A$313,A4,第2节!$C$3:$C$313)-SUMIF(第2节!$A$3:$A$313,A4,第2节!$B$3:$B$313)</f>
        <v/>
      </c>
      <c r="D4" s="16">
        <f>SUMIF(第2节!$A$3:$A$313,A4,第2节!D$3:D$313)</f>
        <v/>
      </c>
      <c r="E4" s="16">
        <f>SUMIF(第2节!$A$3:$A$313,A4,第2节!E$3:E$313)</f>
        <v/>
      </c>
      <c r="F4" s="16">
        <f>SUMIF(第2节!$A$3:$A$313,A4,第2节!F$3:F$313)</f>
        <v/>
      </c>
      <c r="G4" s="44">
        <f>IF(D4=0,0,ROUND(F4/(D4*2),3))</f>
        <v/>
      </c>
      <c r="H4" s="16">
        <f>SUMIF(第2节!$A$3:$A$313,A4,第2节!G$3:G$313)</f>
        <v/>
      </c>
      <c r="I4" s="16">
        <f>SUMIF(第2节!$A$3:$A$313,A4,第2节!H$3:H$313)</f>
        <v/>
      </c>
      <c r="J4" s="16">
        <f>SUMIF(第2节!$A$3:$A$313,A4,第2节!I$3:I$313)</f>
        <v/>
      </c>
      <c r="K4" s="44">
        <f>IF(H4=0,0,ROUND(J4/(H4*2),3))</f>
        <v/>
      </c>
      <c r="L4" s="16">
        <f>SUMIF(第2节!$A$3:$A$313,A4,第2节!J$3:J$313)</f>
        <v/>
      </c>
      <c r="M4" s="16">
        <f>SUMIF(第2节!$A$3:$A$313,A4,第2节!K$3:K$313)</f>
        <v/>
      </c>
      <c r="N4" s="16">
        <f>SUMIF(第2节!$A$3:$A$313,A4,第2节!L$3:L$313)</f>
        <v/>
      </c>
      <c r="O4" s="44">
        <f>IF(L4=0,0,ROUND(N4/(L4*3),3))</f>
        <v/>
      </c>
      <c r="P4" s="16">
        <f>SUMIF(第2节!$A$3:$A$313,A4,第2节!M$3:M$313)</f>
        <v/>
      </c>
      <c r="Q4" s="16">
        <f>SUMIF(第2节!$A$3:$A$313,A4,第2节!N$3:N$313)</f>
        <v/>
      </c>
      <c r="R4" s="16">
        <f>SUMIF(第2节!$A$3:$A$313,A4,第2节!O$3:O$313)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SUMIF(第2节!$A$3:$A$313,A4,第2节!S$3:S$313)</f>
        <v/>
      </c>
      <c r="Y4" s="16">
        <f>SUMIF(第2节!$A$3:$A$313,A4,第2节!T$3:T$313)</f>
        <v/>
      </c>
      <c r="Z4" s="16">
        <f>X4+Y4</f>
        <v/>
      </c>
      <c r="AA4" s="16">
        <f>SUMIF(第2节!$A$3:$A$313,A4,第2节!V$3:V$313)</f>
        <v/>
      </c>
      <c r="AB4" s="16">
        <f>SUMIF(第2节!$A$3:$A$313,A4,第2节!W$3:W$313)</f>
        <v/>
      </c>
      <c r="AC4" s="16">
        <f>SUMIF(第2节!$A$3:$A$313,A4,第2节!X$3:X$313)</f>
        <v/>
      </c>
      <c r="AD4" s="18" t="n"/>
    </row>
    <row r="5" ht="22.5" customHeight="1">
      <c r="A5" s="14" t="inlineStr">
        <is>
          <t>张绪然</t>
        </is>
      </c>
      <c r="B5" s="14">
        <f>COUNTIF(第2节!$A$3:$A$313,A5)</f>
        <v/>
      </c>
      <c r="C5" s="15">
        <f>SUMIF(第2节!$A$3:$A$313,A5,第2节!$C$3:$C$313)-SUMIF(第2节!$A$3:$A$313,A5,第2节!$B$3:$B$313)</f>
        <v/>
      </c>
      <c r="D5" s="16">
        <f>SUMIF(第2节!$A$3:$A$313,A5,第2节!D$3:D$313)</f>
        <v/>
      </c>
      <c r="E5" s="16">
        <f>SUMIF(第2节!$A$3:$A$313,A5,第2节!E$3:E$313)</f>
        <v/>
      </c>
      <c r="F5" s="16">
        <f>SUMIF(第2节!$A$3:$A$313,A5,第2节!F$3:F$313)</f>
        <v/>
      </c>
      <c r="G5" s="44">
        <f>IF(D5=0,0,ROUND(F5/(D5*2),3))</f>
        <v/>
      </c>
      <c r="H5" s="16">
        <f>SUMIF(第2节!$A$3:$A$313,A5,第2节!G$3:G$313)</f>
        <v/>
      </c>
      <c r="I5" s="16">
        <f>SUMIF(第2节!$A$3:$A$313,A5,第2节!H$3:H$313)</f>
        <v/>
      </c>
      <c r="J5" s="16">
        <f>SUMIF(第2节!$A$3:$A$313,A5,第2节!I$3:I$313)</f>
        <v/>
      </c>
      <c r="K5" s="44">
        <f>IF(H5=0,0,ROUND(J5/(H5*2),3))</f>
        <v/>
      </c>
      <c r="L5" s="16">
        <f>SUMIF(第2节!$A$3:$A$313,A5,第2节!J$3:J$313)</f>
        <v/>
      </c>
      <c r="M5" s="16">
        <f>SUMIF(第2节!$A$3:$A$313,A5,第2节!K$3:K$313)</f>
        <v/>
      </c>
      <c r="N5" s="16">
        <f>SUMIF(第2节!$A$3:$A$313,A5,第2节!L$3:L$313)</f>
        <v/>
      </c>
      <c r="O5" s="44">
        <f>IF(L5=0,0,ROUND(N5/(L5*3),3))</f>
        <v/>
      </c>
      <c r="P5" s="16">
        <f>SUMIF(第2节!$A$3:$A$313,A5,第2节!M$3:M$313)</f>
        <v/>
      </c>
      <c r="Q5" s="16">
        <f>SUMIF(第2节!$A$3:$A$313,A5,第2节!N$3:N$313)</f>
        <v/>
      </c>
      <c r="R5" s="16">
        <f>SUMIF(第2节!$A$3:$A$313,A5,第2节!O$3:O$313)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SUMIF(第2节!$A$3:$A$313,A5,第2节!S$3:S$313)</f>
        <v/>
      </c>
      <c r="Y5" s="16">
        <f>SUMIF(第2节!$A$3:$A$313,A5,第2节!T$3:T$313)</f>
        <v/>
      </c>
      <c r="Z5" s="16">
        <f>X5+Y5</f>
        <v/>
      </c>
      <c r="AA5" s="16">
        <f>SUMIF(第2节!$A$3:$A$313,A5,第2节!V$3:V$313)</f>
        <v/>
      </c>
      <c r="AB5" s="16">
        <f>SUMIF(第2节!$A$3:$A$313,A5,第2节!W$3:W$313)</f>
        <v/>
      </c>
      <c r="AC5" s="16">
        <f>SUMIF(第2节!$A$3:$A$313,A5,第2节!X$3:X$313)</f>
        <v/>
      </c>
      <c r="AD5" s="18" t="n"/>
    </row>
    <row r="6" ht="22.5" customHeight="1">
      <c r="A6" s="14" t="inlineStr">
        <is>
          <t>雷奕梵</t>
        </is>
      </c>
      <c r="B6" s="14">
        <f>COUNTIF(第2节!$A$3:$A$313,A6)</f>
        <v/>
      </c>
      <c r="C6" s="15">
        <f>SUMIF(第2节!$A$3:$A$313,A6,第2节!$C$3:$C$313)-SUMIF(第2节!$A$3:$A$313,A6,第2节!$B$3:$B$313)</f>
        <v/>
      </c>
      <c r="D6" s="16">
        <f>SUMIF(第2节!$A$3:$A$313,A6,第2节!D$3:D$313)</f>
        <v/>
      </c>
      <c r="E6" s="16">
        <f>SUMIF(第2节!$A$3:$A$313,A6,第2节!E$3:E$313)</f>
        <v/>
      </c>
      <c r="F6" s="16">
        <f>SUMIF(第2节!$A$3:$A$313,A6,第2节!F$3:F$313)</f>
        <v/>
      </c>
      <c r="G6" s="44">
        <f>IF(D6=0,0,ROUND(F6/(D6*2),3))</f>
        <v/>
      </c>
      <c r="H6" s="16">
        <f>SUMIF(第2节!$A$3:$A$313,A6,第2节!G$3:G$313)</f>
        <v/>
      </c>
      <c r="I6" s="16">
        <f>SUMIF(第2节!$A$3:$A$313,A6,第2节!H$3:H$313)</f>
        <v/>
      </c>
      <c r="J6" s="16">
        <f>SUMIF(第2节!$A$3:$A$313,A6,第2节!I$3:I$313)</f>
        <v/>
      </c>
      <c r="K6" s="44">
        <f>IF(H6=0,0,ROUND(J6/(H6*2),3))</f>
        <v/>
      </c>
      <c r="L6" s="16">
        <f>SUMIF(第2节!$A$3:$A$313,A6,第2节!J$3:J$313)</f>
        <v/>
      </c>
      <c r="M6" s="16">
        <f>SUMIF(第2节!$A$3:$A$313,A6,第2节!K$3:K$313)</f>
        <v/>
      </c>
      <c r="N6" s="16">
        <f>SUMIF(第2节!$A$3:$A$313,A6,第2节!L$3:L$313)</f>
        <v/>
      </c>
      <c r="O6" s="44">
        <f>IF(L6=0,0,ROUND(N6/(L6*3),3))</f>
        <v/>
      </c>
      <c r="P6" s="16">
        <f>SUMIF(第2节!$A$3:$A$313,A6,第2节!M$3:M$313)</f>
        <v/>
      </c>
      <c r="Q6" s="16">
        <f>SUMIF(第2节!$A$3:$A$313,A6,第2节!N$3:N$313)</f>
        <v/>
      </c>
      <c r="R6" s="16">
        <f>SUMIF(第2节!$A$3:$A$313,A6,第2节!O$3:O$313)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SUMIF(第2节!$A$3:$A$313,A6,第2节!S$3:S$313)</f>
        <v/>
      </c>
      <c r="Y6" s="16">
        <f>SUMIF(第2节!$A$3:$A$313,A6,第2节!T$3:T$313)</f>
        <v/>
      </c>
      <c r="Z6" s="16">
        <f>X6+Y6</f>
        <v/>
      </c>
      <c r="AA6" s="16">
        <f>SUMIF(第2节!$A$3:$A$313,A6,第2节!V$3:V$313)</f>
        <v/>
      </c>
      <c r="AB6" s="16">
        <f>SUMIF(第2节!$A$3:$A$313,A6,第2节!W$3:W$313)</f>
        <v/>
      </c>
      <c r="AC6" s="16">
        <f>SUMIF(第2节!$A$3:$A$313,A6,第2节!X$3:X$313)</f>
        <v/>
      </c>
      <c r="AD6" s="18" t="n"/>
    </row>
    <row r="7" ht="22.5" customHeight="1">
      <c r="A7" s="14" t="inlineStr">
        <is>
          <t>洪浩哲</t>
        </is>
      </c>
      <c r="B7" s="14">
        <f>COUNTIF(第2节!$A$3:$A$313,A7)</f>
        <v/>
      </c>
      <c r="C7" s="15">
        <f>SUMIF(第2节!$A$3:$A$313,A7,第2节!$C$3:$C$313)-SUMIF(第2节!$A$3:$A$313,A7,第2节!$B$3:$B$313)</f>
        <v/>
      </c>
      <c r="D7" s="16">
        <f>SUMIF(第2节!$A$3:$A$313,A7,第2节!D$3:D$313)</f>
        <v/>
      </c>
      <c r="E7" s="16">
        <f>SUMIF(第2节!$A$3:$A$313,A7,第2节!E$3:E$313)</f>
        <v/>
      </c>
      <c r="F7" s="16">
        <f>SUMIF(第2节!$A$3:$A$313,A7,第2节!F$3:F$313)</f>
        <v/>
      </c>
      <c r="G7" s="44">
        <f>IF(D7=0,0,ROUND(F7/(D7*2),3))</f>
        <v/>
      </c>
      <c r="H7" s="16">
        <f>SUMIF(第2节!$A$3:$A$313,A7,第2节!G$3:G$313)</f>
        <v/>
      </c>
      <c r="I7" s="16">
        <f>SUMIF(第2节!$A$3:$A$313,A7,第2节!H$3:H$313)</f>
        <v/>
      </c>
      <c r="J7" s="16">
        <f>SUMIF(第2节!$A$3:$A$313,A7,第2节!I$3:I$313)</f>
        <v/>
      </c>
      <c r="K7" s="44">
        <f>IF(H7=0,0,ROUND(J7/(H7*2),3))</f>
        <v/>
      </c>
      <c r="L7" s="16">
        <f>SUMIF(第2节!$A$3:$A$313,A7,第2节!J$3:J$313)</f>
        <v/>
      </c>
      <c r="M7" s="16">
        <f>SUMIF(第2节!$A$3:$A$313,A7,第2节!K$3:K$313)</f>
        <v/>
      </c>
      <c r="N7" s="16">
        <f>SUMIF(第2节!$A$3:$A$313,A7,第2节!L$3:L$313)</f>
        <v/>
      </c>
      <c r="O7" s="44">
        <f>IF(L7=0,0,ROUND(N7/(L7*3),3))</f>
        <v/>
      </c>
      <c r="P7" s="16">
        <f>SUMIF(第2节!$A$3:$A$313,A7,第2节!M$3:M$313)</f>
        <v/>
      </c>
      <c r="Q7" s="16">
        <f>SUMIF(第2节!$A$3:$A$313,A7,第2节!N$3:N$313)</f>
        <v/>
      </c>
      <c r="R7" s="16">
        <f>SUMIF(第2节!$A$3:$A$313,A7,第2节!O$3:O$313)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SUMIF(第2节!$A$3:$A$313,A7,第2节!S$3:S$313)</f>
        <v/>
      </c>
      <c r="Y7" s="16">
        <f>SUMIF(第2节!$A$3:$A$313,A7,第2节!T$3:T$313)</f>
        <v/>
      </c>
      <c r="Z7" s="16">
        <f>X7+Y7</f>
        <v/>
      </c>
      <c r="AA7" s="16">
        <f>SUMIF(第2节!$A$3:$A$313,A7,第2节!V$3:V$313)</f>
        <v/>
      </c>
      <c r="AB7" s="16">
        <f>SUMIF(第2节!$A$3:$A$313,A7,第2节!W$3:W$313)</f>
        <v/>
      </c>
      <c r="AC7" s="16">
        <f>SUMIF(第2节!$A$3:$A$313,A7,第2节!X$3:X$313)</f>
        <v/>
      </c>
      <c r="AD7" s="18" t="n"/>
    </row>
    <row r="8" ht="22.5" customHeight="1">
      <c r="A8" s="14" t="inlineStr">
        <is>
          <t>刘炎昊</t>
        </is>
      </c>
      <c r="B8" s="14">
        <f>COUNTIF(第2节!$A$3:$A$313,A8)</f>
        <v/>
      </c>
      <c r="C8" s="15">
        <f>SUMIF(第2节!$A$3:$A$313,A8,第2节!$C$3:$C$313)-SUMIF(第2节!$A$3:$A$313,A8,第2节!$B$3:$B$313)</f>
        <v/>
      </c>
      <c r="D8" s="16">
        <f>SUMIF(第2节!$A$3:$A$313,A8,第2节!D$3:D$313)</f>
        <v/>
      </c>
      <c r="E8" s="16">
        <f>SUMIF(第2节!$A$3:$A$313,A8,第2节!E$3:E$313)</f>
        <v/>
      </c>
      <c r="F8" s="16">
        <f>SUMIF(第2节!$A$3:$A$313,A8,第2节!F$3:F$313)</f>
        <v/>
      </c>
      <c r="G8" s="44">
        <f>IF(D8=0,0,ROUND(F8/(D8*2),3))</f>
        <v/>
      </c>
      <c r="H8" s="16">
        <f>SUMIF(第2节!$A$3:$A$313,A8,第2节!G$3:G$313)</f>
        <v/>
      </c>
      <c r="I8" s="16">
        <f>SUMIF(第2节!$A$3:$A$313,A8,第2节!H$3:H$313)</f>
        <v/>
      </c>
      <c r="J8" s="16">
        <f>SUMIF(第2节!$A$3:$A$313,A8,第2节!I$3:I$313)</f>
        <v/>
      </c>
      <c r="K8" s="44">
        <f>IF(H8=0,0,ROUND(J8/(H8*2),3))</f>
        <v/>
      </c>
      <c r="L8" s="16">
        <f>SUMIF(第2节!$A$3:$A$313,A8,第2节!J$3:J$313)</f>
        <v/>
      </c>
      <c r="M8" s="16">
        <f>SUMIF(第2节!$A$3:$A$313,A8,第2节!K$3:K$313)</f>
        <v/>
      </c>
      <c r="N8" s="16">
        <f>SUMIF(第2节!$A$3:$A$313,A8,第2节!L$3:L$313)</f>
        <v/>
      </c>
      <c r="O8" s="44">
        <f>IF(L8=0,0,ROUND(N8/(L8*3),3))</f>
        <v/>
      </c>
      <c r="P8" s="16">
        <f>SUMIF(第2节!$A$3:$A$313,A8,第2节!M$3:M$313)</f>
        <v/>
      </c>
      <c r="Q8" s="16">
        <f>SUMIF(第2节!$A$3:$A$313,A8,第2节!N$3:N$313)</f>
        <v/>
      </c>
      <c r="R8" s="16">
        <f>SUMIF(第2节!$A$3:$A$313,A8,第2节!O$3:O$313)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SUMIF(第2节!$A$3:$A$313,A8,第2节!S$3:S$313)</f>
        <v/>
      </c>
      <c r="Y8" s="16">
        <f>SUMIF(第2节!$A$3:$A$313,A8,第2节!T$3:T$313)</f>
        <v/>
      </c>
      <c r="Z8" s="16">
        <f>X8+Y8</f>
        <v/>
      </c>
      <c r="AA8" s="16">
        <f>SUMIF(第2节!$A$3:$A$313,A8,第2节!V$3:V$313)</f>
        <v/>
      </c>
      <c r="AB8" s="16">
        <f>SUMIF(第2节!$A$3:$A$313,A8,第2节!W$3:W$313)</f>
        <v/>
      </c>
      <c r="AC8" s="16">
        <f>SUMIF(第2节!$A$3:$A$313,A8,第2节!X$3:X$313)</f>
        <v/>
      </c>
      <c r="AD8" s="18" t="n"/>
    </row>
    <row r="9" ht="22.5" customHeight="1">
      <c r="A9" s="14" t="inlineStr">
        <is>
          <t>施柏宇</t>
        </is>
      </c>
      <c r="B9" s="14">
        <f>COUNTIF(第2节!$A$3:$A$313,A9)</f>
        <v/>
      </c>
      <c r="C9" s="15">
        <f>SUMIF(第2节!$A$3:$A$313,A9,第2节!$C$3:$C$313)-SUMIF(第2节!$A$3:$A$313,A9,第2节!$B$3:$B$313)</f>
        <v/>
      </c>
      <c r="D9" s="16">
        <f>SUMIF(第2节!$A$3:$A$313,A9,第2节!D$3:D$313)</f>
        <v/>
      </c>
      <c r="E9" s="16">
        <f>SUMIF(第2节!$A$3:$A$313,A9,第2节!E$3:E$313)</f>
        <v/>
      </c>
      <c r="F9" s="16">
        <f>SUMIF(第2节!$A$3:$A$313,A9,第2节!F$3:F$313)</f>
        <v/>
      </c>
      <c r="G9" s="44">
        <f>IF(D9=0,0,ROUND(F9/(D9*2),3))</f>
        <v/>
      </c>
      <c r="H9" s="16">
        <f>SUMIF(第2节!$A$3:$A$313,A9,第2节!G$3:G$313)</f>
        <v/>
      </c>
      <c r="I9" s="16">
        <f>SUMIF(第2节!$A$3:$A$313,A9,第2节!H$3:H$313)</f>
        <v/>
      </c>
      <c r="J9" s="16">
        <f>SUMIF(第2节!$A$3:$A$313,A9,第2节!I$3:I$313)</f>
        <v/>
      </c>
      <c r="K9" s="44">
        <f>IF(H9=0,0,ROUND(J9/(H9*2),3))</f>
        <v/>
      </c>
      <c r="L9" s="16">
        <f>SUMIF(第2节!$A$3:$A$313,A9,第2节!J$3:J$313)</f>
        <v/>
      </c>
      <c r="M9" s="16">
        <f>SUMIF(第2节!$A$3:$A$313,A9,第2节!K$3:K$313)</f>
        <v/>
      </c>
      <c r="N9" s="16">
        <f>SUMIF(第2节!$A$3:$A$313,A9,第2节!L$3:L$313)</f>
        <v/>
      </c>
      <c r="O9" s="44">
        <f>IF(L9=0,0,ROUND(N9/(L9*3),3))</f>
        <v/>
      </c>
      <c r="P9" s="16">
        <f>SUMIF(第2节!$A$3:$A$313,A9,第2节!M$3:M$313)</f>
        <v/>
      </c>
      <c r="Q9" s="16">
        <f>SUMIF(第2节!$A$3:$A$313,A9,第2节!N$3:N$313)</f>
        <v/>
      </c>
      <c r="R9" s="16">
        <f>SUMIF(第2节!$A$3:$A$313,A9,第2节!O$3:O$313)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SUMIF(第2节!$A$3:$A$313,A9,第2节!S$3:S$313)</f>
        <v/>
      </c>
      <c r="Y9" s="16">
        <f>SUMIF(第2节!$A$3:$A$313,A9,第2节!T$3:T$313)</f>
        <v/>
      </c>
      <c r="Z9" s="16">
        <f>X9+Y9</f>
        <v/>
      </c>
      <c r="AA9" s="16">
        <f>SUMIF(第2节!$A$3:$A$313,A9,第2节!V$3:V$313)</f>
        <v/>
      </c>
      <c r="AB9" s="16">
        <f>SUMIF(第2节!$A$3:$A$313,A9,第2节!W$3:W$313)</f>
        <v/>
      </c>
      <c r="AC9" s="16">
        <f>SUMIF(第2节!$A$3:$A$313,A9,第2节!X$3:X$313)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COUNTIF(第2节!$A$3:$A$313,A9)</f>
        <v/>
      </c>
      <c r="C10" s="15">
        <f>SUMIF(第2节!$A$3:$A$313,A9,第2节!$C$3:$C$313)-SUMIF(第2节!$A$3:$A$313,A9,第2节!$B$3:$B$313)</f>
        <v/>
      </c>
      <c r="D10" s="16">
        <f>SUMIF(第2节!$A$3:$A$313,A9,第2节!D$3:D$313)</f>
        <v/>
      </c>
      <c r="E10" s="16">
        <f>SUMIF(第2节!$A$3:$A$313,A9,第2节!E$3:E$313)</f>
        <v/>
      </c>
      <c r="F10" s="16">
        <f>SUMIF(第2节!$A$3:$A$313,A9,第2节!F$3:F$313)</f>
        <v/>
      </c>
      <c r="G10" s="44">
        <f>IF(D9=0,0,ROUND(F9/(D9*2),3))</f>
        <v/>
      </c>
      <c r="H10" s="16">
        <f>SUMIF(第2节!$A$3:$A$313,A9,第2节!G$3:G$313)</f>
        <v/>
      </c>
      <c r="I10" s="16">
        <f>SUMIF(第2节!$A$3:$A$313,A9,第2节!H$3:H$313)</f>
        <v/>
      </c>
      <c r="J10" s="16">
        <f>SUMIF(第2节!$A$3:$A$313,A9,第2节!I$3:I$313)</f>
        <v/>
      </c>
      <c r="K10" s="44">
        <f>IF(H9=0,0,ROUND(J9/(H9*2),3))</f>
        <v/>
      </c>
      <c r="L10" s="16">
        <f>SUMIF(第2节!$A$3:$A$313,A9,第2节!J$3:J$313)</f>
        <v/>
      </c>
      <c r="M10" s="16">
        <f>SUMIF(第2节!$A$3:$A$313,A9,第2节!K$3:K$313)</f>
        <v/>
      </c>
      <c r="N10" s="16">
        <f>SUMIF(第2节!$A$3:$A$313,A9,第2节!L$3:L$313)</f>
        <v/>
      </c>
      <c r="O10" s="44">
        <f>IF(L9=0,0,ROUND(N9/(L9*3),3))</f>
        <v/>
      </c>
      <c r="P10" s="16">
        <f>SUMIF(第2节!$A$3:$A$313,A9,第2节!M$3:M$313)</f>
        <v/>
      </c>
      <c r="Q10" s="16">
        <f>SUMIF(第2节!$A$3:$A$313,A9,第2节!N$3:N$313)</f>
        <v/>
      </c>
      <c r="R10" s="16">
        <f>SUMIF(第2节!$A$3:$A$313,A9,第2节!O$3:O$313)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SUMIF(第2节!$A$3:$A$313,A9,第2节!S$3:S$313)</f>
        <v/>
      </c>
      <c r="Y10" s="16">
        <f>SUMIF(第2节!$A$3:$A$313,A9,第2节!T$3:T$313)</f>
        <v/>
      </c>
      <c r="Z10" s="16">
        <f>X9+Y9</f>
        <v/>
      </c>
      <c r="AA10" s="16">
        <f>SUMIF(第2节!$A$3:$A$313,A9,第2节!V$3:V$313)</f>
        <v/>
      </c>
      <c r="AB10" s="16">
        <f>SUMIF(第2节!$A$3:$A$313,A9,第2节!W$3:W$313)</f>
        <v/>
      </c>
      <c r="AC10" s="16">
        <f>SUMIF(第2节!$A$3:$A$313,A9,第2节!X$3:X$313)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COUNTIF(第2节!$A$3:$A$313,A9)</f>
        <v/>
      </c>
      <c r="C11" s="15">
        <f>SUMIF(第2节!$A$3:$A$313,A9,第2节!$C$3:$C$313)-SUMIF(第2节!$A$3:$A$313,A9,第2节!$B$3:$B$313)</f>
        <v/>
      </c>
      <c r="D11" s="16">
        <f>SUMIF(第2节!$A$3:$A$313,A9,第2节!D$3:D$313)</f>
        <v/>
      </c>
      <c r="E11" s="16">
        <f>SUMIF(第2节!$A$3:$A$313,A9,第2节!E$3:E$313)</f>
        <v/>
      </c>
      <c r="F11" s="16">
        <f>SUMIF(第2节!$A$3:$A$313,A9,第2节!F$3:F$313)</f>
        <v/>
      </c>
      <c r="G11" s="44">
        <f>IF(D9=0,0,ROUND(F9/(D9*2),3))</f>
        <v/>
      </c>
      <c r="H11" s="16">
        <f>SUMIF(第2节!$A$3:$A$313,A9,第2节!G$3:G$313)</f>
        <v/>
      </c>
      <c r="I11" s="16">
        <f>SUMIF(第2节!$A$3:$A$313,A9,第2节!H$3:H$313)</f>
        <v/>
      </c>
      <c r="J11" s="16">
        <f>SUMIF(第2节!$A$3:$A$313,A9,第2节!I$3:I$313)</f>
        <v/>
      </c>
      <c r="K11" s="44">
        <f>IF(H9=0,0,ROUND(J9/(H9*2),3))</f>
        <v/>
      </c>
      <c r="L11" s="16">
        <f>SUMIF(第2节!$A$3:$A$313,A9,第2节!J$3:J$313)</f>
        <v/>
      </c>
      <c r="M11" s="16">
        <f>SUMIF(第2节!$A$3:$A$313,A9,第2节!K$3:K$313)</f>
        <v/>
      </c>
      <c r="N11" s="16">
        <f>SUMIF(第2节!$A$3:$A$313,A9,第2节!L$3:L$313)</f>
        <v/>
      </c>
      <c r="O11" s="44">
        <f>IF(L9=0,0,ROUND(N9/(L9*3),3))</f>
        <v/>
      </c>
      <c r="P11" s="16">
        <f>SUMIF(第2节!$A$3:$A$313,A9,第2节!M$3:M$313)</f>
        <v/>
      </c>
      <c r="Q11" s="16">
        <f>SUMIF(第2节!$A$3:$A$313,A9,第2节!N$3:N$313)</f>
        <v/>
      </c>
      <c r="R11" s="16">
        <f>SUMIF(第2节!$A$3:$A$313,A9,第2节!O$3:O$313)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SUMIF(第2节!$A$3:$A$313,A9,第2节!S$3:S$313)</f>
        <v/>
      </c>
      <c r="Y11" s="16">
        <f>SUMIF(第2节!$A$3:$A$313,A9,第2节!T$3:T$313)</f>
        <v/>
      </c>
      <c r="Z11" s="16">
        <f>X9+Y9</f>
        <v/>
      </c>
      <c r="AA11" s="16">
        <f>SUMIF(第2节!$A$3:$A$313,A9,第2节!V$3:V$313)</f>
        <v/>
      </c>
      <c r="AB11" s="16">
        <f>SUMIF(第2节!$A$3:$A$313,A9,第2节!W$3:W$313)</f>
        <v/>
      </c>
      <c r="AC11" s="16">
        <f>SUMIF(第2节!$A$3:$A$313,A9,第2节!X$3:X$313)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COUNTIF(第2节!$A$3:$A$313,A9)</f>
        <v/>
      </c>
      <c r="C12" s="15">
        <f>SUMIF(第2节!$A$3:$A$313,A9,第2节!$C$3:$C$313)-SUMIF(第2节!$A$3:$A$313,A9,第2节!$B$3:$B$313)</f>
        <v/>
      </c>
      <c r="D12" s="16">
        <f>SUMIF(第2节!$A$3:$A$313,A9,第2节!D$3:D$313)</f>
        <v/>
      </c>
      <c r="E12" s="16">
        <f>SUMIF(第2节!$A$3:$A$313,A9,第2节!E$3:E$313)</f>
        <v/>
      </c>
      <c r="F12" s="16">
        <f>SUMIF(第2节!$A$3:$A$313,A9,第2节!F$3:F$313)</f>
        <v/>
      </c>
      <c r="G12" s="44">
        <f>IF(D9=0,0,ROUND(F9/(D9*2),3))</f>
        <v/>
      </c>
      <c r="H12" s="16">
        <f>SUMIF(第2节!$A$3:$A$313,A9,第2节!G$3:G$313)</f>
        <v/>
      </c>
      <c r="I12" s="16">
        <f>SUMIF(第2节!$A$3:$A$313,A9,第2节!H$3:H$313)</f>
        <v/>
      </c>
      <c r="J12" s="16">
        <f>SUMIF(第2节!$A$3:$A$313,A9,第2节!I$3:I$313)</f>
        <v/>
      </c>
      <c r="K12" s="44">
        <f>IF(H9=0,0,ROUND(J9/(H9*2),3))</f>
        <v/>
      </c>
      <c r="L12" s="16">
        <f>SUMIF(第2节!$A$3:$A$313,A9,第2节!J$3:J$313)</f>
        <v/>
      </c>
      <c r="M12" s="16">
        <f>SUMIF(第2节!$A$3:$A$313,A9,第2节!K$3:K$313)</f>
        <v/>
      </c>
      <c r="N12" s="16">
        <f>SUMIF(第2节!$A$3:$A$313,A9,第2节!L$3:L$313)</f>
        <v/>
      </c>
      <c r="O12" s="44">
        <f>IF(L9=0,0,ROUND(N9/(L9*3),3))</f>
        <v/>
      </c>
      <c r="P12" s="16">
        <f>SUMIF(第2节!$A$3:$A$313,A9,第2节!M$3:M$313)</f>
        <v/>
      </c>
      <c r="Q12" s="16">
        <f>SUMIF(第2节!$A$3:$A$313,A9,第2节!N$3:N$313)</f>
        <v/>
      </c>
      <c r="R12" s="16">
        <f>SUMIF(第2节!$A$3:$A$313,A9,第2节!O$3:O$313)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SUMIF(第2节!$A$3:$A$313,A9,第2节!S$3:S$313)</f>
        <v/>
      </c>
      <c r="Y12" s="16">
        <f>SUMIF(第2节!$A$3:$A$313,A9,第2节!T$3:T$313)</f>
        <v/>
      </c>
      <c r="Z12" s="16">
        <f>X9+Y9</f>
        <v/>
      </c>
      <c r="AA12" s="16">
        <f>SUMIF(第2节!$A$3:$A$313,A9,第2节!V$3:V$313)</f>
        <v/>
      </c>
      <c r="AB12" s="16">
        <f>SUMIF(第2节!$A$3:$A$313,A9,第2节!W$3:W$313)</f>
        <v/>
      </c>
      <c r="AC12" s="16">
        <f>SUMIF(第2节!$A$3:$A$313,A9,第2节!X$3:X$313)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COUNTIF(第2节!$A$3:$A$313,A9)</f>
        <v/>
      </c>
      <c r="C13" s="15">
        <f>SUMIF(第2节!$A$3:$A$313,A9,第2节!$C$3:$C$313)-SUMIF(第2节!$A$3:$A$313,A9,第2节!$B$3:$B$313)</f>
        <v/>
      </c>
      <c r="D13" s="16">
        <f>SUMIF(第2节!$A$3:$A$313,A9,第2节!D$3:D$313)</f>
        <v/>
      </c>
      <c r="E13" s="16">
        <f>SUMIF(第2节!$A$3:$A$313,A9,第2节!E$3:E$313)</f>
        <v/>
      </c>
      <c r="F13" s="16">
        <f>SUMIF(第2节!$A$3:$A$313,A9,第2节!F$3:F$313)</f>
        <v/>
      </c>
      <c r="G13" s="44">
        <f>IF(D9=0,0,ROUND(F9/(D9*2),3))</f>
        <v/>
      </c>
      <c r="H13" s="16">
        <f>SUMIF(第2节!$A$3:$A$313,A9,第2节!G$3:G$313)</f>
        <v/>
      </c>
      <c r="I13" s="16">
        <f>SUMIF(第2节!$A$3:$A$313,A9,第2节!H$3:H$313)</f>
        <v/>
      </c>
      <c r="J13" s="16">
        <f>SUMIF(第2节!$A$3:$A$313,A9,第2节!I$3:I$313)</f>
        <v/>
      </c>
      <c r="K13" s="44">
        <f>IF(H9=0,0,ROUND(J9/(H9*2),3))</f>
        <v/>
      </c>
      <c r="L13" s="16">
        <f>SUMIF(第2节!$A$3:$A$313,A9,第2节!J$3:J$313)</f>
        <v/>
      </c>
      <c r="M13" s="16">
        <f>SUMIF(第2节!$A$3:$A$313,A9,第2节!K$3:K$313)</f>
        <v/>
      </c>
      <c r="N13" s="16">
        <f>SUMIF(第2节!$A$3:$A$313,A9,第2节!L$3:L$313)</f>
        <v/>
      </c>
      <c r="O13" s="44">
        <f>IF(L9=0,0,ROUND(N9/(L9*3),3))</f>
        <v/>
      </c>
      <c r="P13" s="16">
        <f>SUMIF(第2节!$A$3:$A$313,A9,第2节!M$3:M$313)</f>
        <v/>
      </c>
      <c r="Q13" s="16">
        <f>SUMIF(第2节!$A$3:$A$313,A9,第2节!N$3:N$313)</f>
        <v/>
      </c>
      <c r="R13" s="16">
        <f>SUMIF(第2节!$A$3:$A$313,A9,第2节!O$3:O$313)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SUMIF(第2节!$A$3:$A$313,A9,第2节!S$3:S$313)</f>
        <v/>
      </c>
      <c r="Y13" s="16">
        <f>SUMIF(第2节!$A$3:$A$313,A9,第2节!T$3:T$313)</f>
        <v/>
      </c>
      <c r="Z13" s="16">
        <f>X9+Y9</f>
        <v/>
      </c>
      <c r="AA13" s="16">
        <f>SUMIF(第2节!$A$3:$A$313,A9,第2节!V$3:V$313)</f>
        <v/>
      </c>
      <c r="AB13" s="16">
        <f>SUMIF(第2节!$A$3:$A$313,A9,第2节!W$3:W$313)</f>
        <v/>
      </c>
      <c r="AC13" s="16">
        <f>SUMIF(第2节!$A$3:$A$313,A9,第2节!X$3:X$313)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COUNTIF(第2节!$A$3:$A$313,A9)</f>
        <v/>
      </c>
      <c r="C14" s="15">
        <f>SUMIF(第2节!$A$3:$A$313,A9,第2节!$C$3:$C$313)-SUMIF(第2节!$A$3:$A$313,A9,第2节!$B$3:$B$313)</f>
        <v/>
      </c>
      <c r="D14" s="16">
        <f>SUMIF(第2节!$A$3:$A$313,A9,第2节!D$3:D$313)</f>
        <v/>
      </c>
      <c r="E14" s="16">
        <f>SUMIF(第2节!$A$3:$A$313,A9,第2节!E$3:E$313)</f>
        <v/>
      </c>
      <c r="F14" s="16">
        <f>SUMIF(第2节!$A$3:$A$313,A9,第2节!F$3:F$313)</f>
        <v/>
      </c>
      <c r="G14" s="44">
        <f>IF(D9=0,0,ROUND(F9/(D9*2),3))</f>
        <v/>
      </c>
      <c r="H14" s="16">
        <f>SUMIF(第2节!$A$3:$A$313,A9,第2节!G$3:G$313)</f>
        <v/>
      </c>
      <c r="I14" s="16">
        <f>SUMIF(第2节!$A$3:$A$313,A9,第2节!H$3:H$313)</f>
        <v/>
      </c>
      <c r="J14" s="16">
        <f>SUMIF(第2节!$A$3:$A$313,A9,第2节!I$3:I$313)</f>
        <v/>
      </c>
      <c r="K14" s="44">
        <f>IF(H9=0,0,ROUND(J9/(H9*2),3))</f>
        <v/>
      </c>
      <c r="L14" s="16">
        <f>SUMIF(第2节!$A$3:$A$313,A9,第2节!J$3:J$313)</f>
        <v/>
      </c>
      <c r="M14" s="16">
        <f>SUMIF(第2节!$A$3:$A$313,A9,第2节!K$3:K$313)</f>
        <v/>
      </c>
      <c r="N14" s="16">
        <f>SUMIF(第2节!$A$3:$A$313,A9,第2节!L$3:L$313)</f>
        <v/>
      </c>
      <c r="O14" s="44">
        <f>IF(L9=0,0,ROUND(N9/(L9*3),3))</f>
        <v/>
      </c>
      <c r="P14" s="16">
        <f>SUMIF(第2节!$A$3:$A$313,A9,第2节!M$3:M$313)</f>
        <v/>
      </c>
      <c r="Q14" s="16">
        <f>SUMIF(第2节!$A$3:$A$313,A9,第2节!N$3:N$313)</f>
        <v/>
      </c>
      <c r="R14" s="16">
        <f>SUMIF(第2节!$A$3:$A$313,A9,第2节!O$3:O$313)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SUMIF(第2节!$A$3:$A$313,A9,第2节!S$3:S$313)</f>
        <v/>
      </c>
      <c r="Y14" s="16">
        <f>SUMIF(第2节!$A$3:$A$313,A9,第2节!T$3:T$313)</f>
        <v/>
      </c>
      <c r="Z14" s="16">
        <f>X9+Y9</f>
        <v/>
      </c>
      <c r="AA14" s="16">
        <f>SUMIF(第2节!$A$3:$A$313,A9,第2节!V$3:V$313)</f>
        <v/>
      </c>
      <c r="AB14" s="16">
        <f>SUMIF(第2节!$A$3:$A$313,A9,第2节!W$3:W$313)</f>
        <v/>
      </c>
      <c r="AC14" s="16">
        <f>SUMIF(第2节!$A$3:$A$313,A9,第2节!X$3:X$313)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COUNTIF(第2节!$A$3:$A$313,A9)</f>
        <v/>
      </c>
      <c r="C15" s="15">
        <f>SUMIF(第2节!$A$3:$A$313,A9,第2节!$C$3:$C$313)-SUMIF(第2节!$A$3:$A$313,A9,第2节!$B$3:$B$313)</f>
        <v/>
      </c>
      <c r="D15" s="16">
        <f>SUMIF(第2节!$A$3:$A$313,A9,第2节!D$3:D$313)</f>
        <v/>
      </c>
      <c r="E15" s="16">
        <f>SUMIF(第2节!$A$3:$A$313,A9,第2节!E$3:E$313)</f>
        <v/>
      </c>
      <c r="F15" s="16">
        <f>SUMIF(第2节!$A$3:$A$313,A9,第2节!F$3:F$313)</f>
        <v/>
      </c>
      <c r="G15" s="44">
        <f>IF(D9=0,0,ROUND(F9/(D9*2),3))</f>
        <v/>
      </c>
      <c r="H15" s="16">
        <f>SUMIF(第2节!$A$3:$A$313,A9,第2节!G$3:G$313)</f>
        <v/>
      </c>
      <c r="I15" s="16">
        <f>SUMIF(第2节!$A$3:$A$313,A9,第2节!H$3:H$313)</f>
        <v/>
      </c>
      <c r="J15" s="16">
        <f>SUMIF(第2节!$A$3:$A$313,A9,第2节!I$3:I$313)</f>
        <v/>
      </c>
      <c r="K15" s="44">
        <f>IF(H9=0,0,ROUND(J9/(H9*2),3))</f>
        <v/>
      </c>
      <c r="L15" s="16">
        <f>SUMIF(第2节!$A$3:$A$313,A9,第2节!J$3:J$313)</f>
        <v/>
      </c>
      <c r="M15" s="16">
        <f>SUMIF(第2节!$A$3:$A$313,A9,第2节!K$3:K$313)</f>
        <v/>
      </c>
      <c r="N15" s="16">
        <f>SUMIF(第2节!$A$3:$A$313,A9,第2节!L$3:L$313)</f>
        <v/>
      </c>
      <c r="O15" s="44">
        <f>IF(L9=0,0,ROUND(N9/(L9*3),3))</f>
        <v/>
      </c>
      <c r="P15" s="16">
        <f>SUMIF(第2节!$A$3:$A$313,A9,第2节!M$3:M$313)</f>
        <v/>
      </c>
      <c r="Q15" s="16">
        <f>SUMIF(第2节!$A$3:$A$313,A9,第2节!N$3:N$313)</f>
        <v/>
      </c>
      <c r="R15" s="16">
        <f>SUMIF(第2节!$A$3:$A$313,A9,第2节!O$3:O$313)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SUMIF(第2节!$A$3:$A$313,A9,第2节!S$3:S$313)</f>
        <v/>
      </c>
      <c r="Y15" s="16">
        <f>SUMIF(第2节!$A$3:$A$313,A9,第2节!T$3:T$313)</f>
        <v/>
      </c>
      <c r="Z15" s="16">
        <f>X9+Y9</f>
        <v/>
      </c>
      <c r="AA15" s="16">
        <f>SUMIF(第2节!$A$3:$A$313,A9,第2节!V$3:V$313)</f>
        <v/>
      </c>
      <c r="AB15" s="16">
        <f>SUMIF(第2节!$A$3:$A$313,A9,第2节!W$3:W$313)</f>
        <v/>
      </c>
      <c r="AC15" s="16">
        <f>SUMIF(第2节!$A$3:$A$313,A9,第2节!X$3:X$313)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SUMPRODUCT(COUNTIF($A$11:$A$17,第2节!$A$3:$A$313))</f>
        <v/>
      </c>
      <c r="C16" s="20">
        <f>SUMPRODUCT(COUNTIF($A$11:$A$17,第2节!$A$3:$A$313),第2节!$C$3:$C$313)-SUMPRODUCT(COUNTIF($A$11:$A$17,第2节!$A$3:$A$313),第2节!$B$3:$B$313)</f>
        <v/>
      </c>
      <c r="D16" s="19">
        <f>SUMPRODUCT(COUNTIF($A$11:$A$17,第2节!$A$3:$A$313),第2节!D$3:D$313)</f>
        <v/>
      </c>
      <c r="E16" s="19">
        <f>SUMPRODUCT(COUNTIF($A$11:$A$17,第2节!$A$3:$A$313),第2节!E$3:E$313)</f>
        <v/>
      </c>
      <c r="F16" s="19">
        <f>SUMPRODUCT(COUNTIF($A$11:$A$17,第2节!$A$3:$A$313),第2节!F$3:F$313)</f>
        <v/>
      </c>
      <c r="G16" s="45">
        <f>IF(D10=0,0,ROUND(F10/(D10*2),3))</f>
        <v/>
      </c>
      <c r="H16" s="19">
        <f>SUMPRODUCT(COUNTIF($A$11:$A$17,第2节!$A$3:$A$313),第2节!G$3:G$313)</f>
        <v/>
      </c>
      <c r="I16" s="19">
        <f>SUMPRODUCT(COUNTIF($A$11:$A$17,第2节!$A$3:$A$313),第2节!H$3:H$313)</f>
        <v/>
      </c>
      <c r="J16" s="19">
        <f>SUMPRODUCT(COUNTIF($A$11:$A$17,第2节!$A$3:$A$313),第2节!I$3:I$313)</f>
        <v/>
      </c>
      <c r="K16" s="45">
        <f>IF(H10=0,0,ROUND(J10/(H10*2),3))</f>
        <v/>
      </c>
      <c r="L16" s="19">
        <f>SUMPRODUCT(COUNTIF($A$11:$A$17,第2节!$A$3:$A$313),第2节!J$3:J$313)</f>
        <v/>
      </c>
      <c r="M16" s="19">
        <f>SUMPRODUCT(COUNTIF($A$11:$A$17,第2节!$A$3:$A$313),第2节!K$3:K$313)</f>
        <v/>
      </c>
      <c r="N16" s="19">
        <f>SUMPRODUCT(COUNTIF($A$11:$A$17,第2节!$A$3:$A$313),第2节!L$3:L$313)</f>
        <v/>
      </c>
      <c r="O16" s="45">
        <f>IF(L10=0,0,ROUND(N10/(L10*3),3))</f>
        <v/>
      </c>
      <c r="P16" s="19">
        <f>SUMPRODUCT(COUNTIF($A$11:$A$17,第2节!$A$3:$A$313),第2节!M$3:M$313)</f>
        <v/>
      </c>
      <c r="Q16" s="19">
        <f>SUMPRODUCT(COUNTIF($A$11:$A$17,第2节!$A$3:$A$313),第2节!N$3:N$313)</f>
        <v/>
      </c>
      <c r="R16" s="19">
        <f>SUMPRODUCT(COUNTIF($A$11:$A$17,第2节!$A$3:$A$313),第2节!O$3:O$313)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SUMPRODUCT(COUNTIF($A$11:$A$17,第2节!$A$3:$A$313),第2节!S$3:S$313)</f>
        <v/>
      </c>
      <c r="Y16" s="19">
        <f>SUMPRODUCT(COUNTIF($A$11:$A$17,第2节!$A$3:$A$313),第2节!T$3:T$313)</f>
        <v/>
      </c>
      <c r="Z16" s="19">
        <f>X10+Y10</f>
        <v/>
      </c>
      <c r="AA16" s="19">
        <f>SUMPRODUCT(COUNTIF($A$11:$A$17,第2节!$A$3:$A$313),第2节!V$3:V$313)</f>
        <v/>
      </c>
      <c r="AB16" s="19">
        <f>SUMPRODUCT(COUNTIF($A$11:$A$17,第2节!$A$3:$A$313),第2节!W$3:W$313)</f>
        <v/>
      </c>
      <c r="AC16" s="19">
        <f>SUMPRODUCT(COUNTIF($A$11:$A$17,第2节!$A$3:$A$313),第2节!X$3:X$313)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COUNTIF(第2节!$A$3:$A$313,A11)</f>
        <v/>
      </c>
      <c r="C17" s="24">
        <f>SUMIF(第2节!$A$3:$A$313,A11,第2节!$C$3:$C$313)-SUMIF(第2节!$A$3:$A$313,A11,第2节!$B$3:$B$313)</f>
        <v/>
      </c>
      <c r="D17" s="25">
        <f>SUMIF(第2节!$A$3:$A$313,A11,第2节!D$3:D$313)</f>
        <v/>
      </c>
      <c r="E17" s="25">
        <f>SUMIF(第2节!$A$3:$A$313,A11,第2节!E$3:E$313)</f>
        <v/>
      </c>
      <c r="F17" s="25">
        <f>SUMIF(第2节!$A$3:$A$313,A11,第2节!F$3:F$313)</f>
        <v/>
      </c>
      <c r="G17" s="46">
        <f>IF(D11=0,0,ROUND(F11/(D11*2),3))</f>
        <v/>
      </c>
      <c r="H17" s="25">
        <f>SUMIF(第2节!$A$3:$A$313,A11,第2节!G$3:G$313)</f>
        <v/>
      </c>
      <c r="I17" s="25">
        <f>SUMIF(第2节!$A$3:$A$313,A11,第2节!H$3:H$313)</f>
        <v/>
      </c>
      <c r="J17" s="25">
        <f>SUMIF(第2节!$A$3:$A$313,A11,第2节!I$3:I$313)</f>
        <v/>
      </c>
      <c r="K17" s="46">
        <f>IF(H11=0,0,ROUND(J11/(H11*2),3))</f>
        <v/>
      </c>
      <c r="L17" s="25">
        <f>SUMIF(第2节!$A$3:$A$313,A11,第2节!J$3:J$313)</f>
        <v/>
      </c>
      <c r="M17" s="25">
        <f>SUMIF(第2节!$A$3:$A$313,A11,第2节!K$3:K$313)</f>
        <v/>
      </c>
      <c r="N17" s="25">
        <f>SUMIF(第2节!$A$3:$A$313,A11,第2节!L$3:L$313)</f>
        <v/>
      </c>
      <c r="O17" s="46">
        <f>IF(L11=0,0,ROUND(N11/(L11*3),3))</f>
        <v/>
      </c>
      <c r="P17" s="25">
        <f>SUMIF(第2节!$A$3:$A$313,A11,第2节!M$3:M$313)</f>
        <v/>
      </c>
      <c r="Q17" s="25">
        <f>SUMIF(第2节!$A$3:$A$313,A11,第2节!N$3:N$313)</f>
        <v/>
      </c>
      <c r="R17" s="25">
        <f>SUMIF(第2节!$A$3:$A$313,A11,第2节!O$3:O$313)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SUMIF(第2节!$A$3:$A$313,A11,第2节!S$3:S$313)</f>
        <v/>
      </c>
      <c r="Y17" s="25">
        <f>SUMIF(第2节!$A$3:$A$313,A11,第2节!T$3:T$313)</f>
        <v/>
      </c>
      <c r="Z17" s="25">
        <f>X11+Y11</f>
        <v/>
      </c>
      <c r="AA17" s="25">
        <f>SUMIF(第2节!$A$3:$A$313,A11,第2节!V$3:V$313)</f>
        <v/>
      </c>
      <c r="AB17" s="25">
        <f>SUMIF(第2节!$A$3:$A$313,A11,第2节!W$3:W$313)</f>
        <v/>
      </c>
      <c r="AC17" s="25">
        <f>SUMIF(第2节!$A$3:$A$313,A11,第2节!X$3:X$313)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COUNTIF(第2节!$A$3:$A$313,A12)</f>
        <v/>
      </c>
      <c r="C18" s="24">
        <f>SUMIF(第2节!$A$3:$A$313,A12,第2节!$C$3:$C$313)-SUMIF(第2节!$A$3:$A$313,A12,第2节!$B$3:$B$313)</f>
        <v/>
      </c>
      <c r="D18" s="25">
        <f>SUMIF(第2节!$A$3:$A$313,A12,第2节!D$3:D$313)</f>
        <v/>
      </c>
      <c r="E18" s="25">
        <f>SUMIF(第2节!$A$3:$A$313,A12,第2节!E$3:E$313)</f>
        <v/>
      </c>
      <c r="F18" s="25">
        <f>SUMIF(第2节!$A$3:$A$313,A12,第2节!F$3:F$313)</f>
        <v/>
      </c>
      <c r="G18" s="46">
        <f>IF(D12=0,0,ROUND(F12/(D12*2),3))</f>
        <v/>
      </c>
      <c r="H18" s="25">
        <f>SUMIF(第2节!$A$3:$A$313,A12,第2节!G$3:G$313)</f>
        <v/>
      </c>
      <c r="I18" s="25">
        <f>SUMIF(第2节!$A$3:$A$313,A12,第2节!H$3:H$313)</f>
        <v/>
      </c>
      <c r="J18" s="25">
        <f>SUMIF(第2节!$A$3:$A$313,A12,第2节!I$3:I$313)</f>
        <v/>
      </c>
      <c r="K18" s="46">
        <f>IF(H12=0,0,ROUND(J12/(H12*2),3))</f>
        <v/>
      </c>
      <c r="L18" s="25">
        <f>SUMIF(第2节!$A$3:$A$313,A12,第2节!J$3:J$313)</f>
        <v/>
      </c>
      <c r="M18" s="25">
        <f>SUMIF(第2节!$A$3:$A$313,A12,第2节!K$3:K$313)</f>
        <v/>
      </c>
      <c r="N18" s="25">
        <f>SUMIF(第2节!$A$3:$A$313,A12,第2节!L$3:L$313)</f>
        <v/>
      </c>
      <c r="O18" s="46">
        <f>IF(L12=0,0,ROUND(N12/(L12*3),3))</f>
        <v/>
      </c>
      <c r="P18" s="25">
        <f>SUMIF(第2节!$A$3:$A$313,A12,第2节!M$3:M$313)</f>
        <v/>
      </c>
      <c r="Q18" s="25">
        <f>SUMIF(第2节!$A$3:$A$313,A12,第2节!N$3:N$313)</f>
        <v/>
      </c>
      <c r="R18" s="25">
        <f>SUMIF(第2节!$A$3:$A$313,A12,第2节!O$3:O$313)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SUMIF(第2节!$A$3:$A$313,A12,第2节!S$3:S$313)</f>
        <v/>
      </c>
      <c r="Y18" s="25">
        <f>SUMIF(第2节!$A$3:$A$313,A12,第2节!T$3:T$313)</f>
        <v/>
      </c>
      <c r="Z18" s="25">
        <f>X12+Y12</f>
        <v/>
      </c>
      <c r="AA18" s="25">
        <f>SUMIF(第2节!$A$3:$A$313,A12,第2节!V$3:V$313)</f>
        <v/>
      </c>
      <c r="AB18" s="25">
        <f>SUMIF(第2节!$A$3:$A$313,A12,第2节!W$3:W$313)</f>
        <v/>
      </c>
      <c r="AC18" s="25">
        <f>SUMIF(第2节!$A$3:$A$313,A12,第2节!X$3:X$313)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COUNTIF(第2节!$A$3:$A$313,A13)</f>
        <v/>
      </c>
      <c r="C19" s="24">
        <f>SUMIF(第2节!$A$3:$A$313,A13,第2节!$C$3:$C$313)-SUMIF(第2节!$A$3:$A$313,A13,第2节!$B$3:$B$313)</f>
        <v/>
      </c>
      <c r="D19" s="25">
        <f>SUMIF(第2节!$A$3:$A$313,A13,第2节!D$3:D$313)</f>
        <v/>
      </c>
      <c r="E19" s="25">
        <f>SUMIF(第2节!$A$3:$A$313,A13,第2节!E$3:E$313)</f>
        <v/>
      </c>
      <c r="F19" s="25">
        <f>SUMIF(第2节!$A$3:$A$313,A13,第2节!F$3:F$313)</f>
        <v/>
      </c>
      <c r="G19" s="46">
        <f>IF(D13=0,0,ROUND(F13/(D13*2),3))</f>
        <v/>
      </c>
      <c r="H19" s="25">
        <f>SUMIF(第2节!$A$3:$A$313,A13,第2节!G$3:G$313)</f>
        <v/>
      </c>
      <c r="I19" s="25">
        <f>SUMIF(第2节!$A$3:$A$313,A13,第2节!H$3:H$313)</f>
        <v/>
      </c>
      <c r="J19" s="25">
        <f>SUMIF(第2节!$A$3:$A$313,A13,第2节!I$3:I$313)</f>
        <v/>
      </c>
      <c r="K19" s="46">
        <f>IF(H13=0,0,ROUND(J13/(H13*2),3))</f>
        <v/>
      </c>
      <c r="L19" s="25">
        <f>SUMIF(第2节!$A$3:$A$313,A13,第2节!J$3:J$313)</f>
        <v/>
      </c>
      <c r="M19" s="25">
        <f>SUMIF(第2节!$A$3:$A$313,A13,第2节!K$3:K$313)</f>
        <v/>
      </c>
      <c r="N19" s="25">
        <f>SUMIF(第2节!$A$3:$A$313,A13,第2节!L$3:L$313)</f>
        <v/>
      </c>
      <c r="O19" s="46">
        <f>IF(L13=0,0,ROUND(N13/(L13*3),3))</f>
        <v/>
      </c>
      <c r="P19" s="25">
        <f>SUMIF(第2节!$A$3:$A$313,A13,第2节!M$3:M$313)</f>
        <v/>
      </c>
      <c r="Q19" s="25">
        <f>SUMIF(第2节!$A$3:$A$313,A13,第2节!N$3:N$313)</f>
        <v/>
      </c>
      <c r="R19" s="25">
        <f>SUMIF(第2节!$A$3:$A$313,A13,第2节!O$3:O$313)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SUMIF(第2节!$A$3:$A$313,A13,第2节!S$3:S$313)</f>
        <v/>
      </c>
      <c r="Y19" s="25">
        <f>SUMIF(第2节!$A$3:$A$313,A13,第2节!T$3:T$313)</f>
        <v/>
      </c>
      <c r="Z19" s="25">
        <f>X13+Y13</f>
        <v/>
      </c>
      <c r="AA19" s="25">
        <f>SUMIF(第2节!$A$3:$A$313,A13,第2节!V$3:V$313)</f>
        <v/>
      </c>
      <c r="AB19" s="25">
        <f>SUMIF(第2节!$A$3:$A$313,A13,第2节!W$3:W$313)</f>
        <v/>
      </c>
      <c r="AC19" s="25">
        <f>SUMIF(第2节!$A$3:$A$313,A13,第2节!X$3:X$313)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COUNTIF(第2节!$A$3:$A$313,A14)</f>
        <v/>
      </c>
      <c r="C20" s="24">
        <f>SUMIF(第2节!$A$3:$A$313,A14,第2节!$C$3:$C$313)-SUMIF(第2节!$A$3:$A$313,A14,第2节!$B$3:$B$313)</f>
        <v/>
      </c>
      <c r="D20" s="25">
        <f>SUMIF(第2节!$A$3:$A$313,A14,第2节!D$3:D$313)</f>
        <v/>
      </c>
      <c r="E20" s="25">
        <f>SUMIF(第2节!$A$3:$A$313,A14,第2节!E$3:E$313)</f>
        <v/>
      </c>
      <c r="F20" s="25">
        <f>SUMIF(第2节!$A$3:$A$313,A14,第2节!F$3:F$313)</f>
        <v/>
      </c>
      <c r="G20" s="46">
        <f>IF(D14=0,0,ROUND(F14/(D14*2),3))</f>
        <v/>
      </c>
      <c r="H20" s="25">
        <f>SUMIF(第2节!$A$3:$A$313,A14,第2节!G$3:G$313)</f>
        <v/>
      </c>
      <c r="I20" s="25">
        <f>SUMIF(第2节!$A$3:$A$313,A14,第2节!H$3:H$313)</f>
        <v/>
      </c>
      <c r="J20" s="25">
        <f>SUMIF(第2节!$A$3:$A$313,A14,第2节!I$3:I$313)</f>
        <v/>
      </c>
      <c r="K20" s="46">
        <f>IF(H14=0,0,ROUND(J14/(H14*2),3))</f>
        <v/>
      </c>
      <c r="L20" s="25">
        <f>SUMIF(第2节!$A$3:$A$313,A14,第2节!J$3:J$313)</f>
        <v/>
      </c>
      <c r="M20" s="25">
        <f>SUMIF(第2节!$A$3:$A$313,A14,第2节!K$3:K$313)</f>
        <v/>
      </c>
      <c r="N20" s="25">
        <f>SUMIF(第2节!$A$3:$A$313,A14,第2节!L$3:L$313)</f>
        <v/>
      </c>
      <c r="O20" s="46">
        <f>IF(L14=0,0,ROUND(N14/(L14*3),3))</f>
        <v/>
      </c>
      <c r="P20" s="25">
        <f>SUMIF(第2节!$A$3:$A$313,A14,第2节!M$3:M$313)</f>
        <v/>
      </c>
      <c r="Q20" s="25">
        <f>SUMIF(第2节!$A$3:$A$313,A14,第2节!N$3:N$313)</f>
        <v/>
      </c>
      <c r="R20" s="25">
        <f>SUMIF(第2节!$A$3:$A$313,A14,第2节!O$3:O$313)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SUMIF(第2节!$A$3:$A$313,A14,第2节!S$3:S$313)</f>
        <v/>
      </c>
      <c r="Y20" s="25">
        <f>SUMIF(第2节!$A$3:$A$313,A14,第2节!T$3:T$313)</f>
        <v/>
      </c>
      <c r="Z20" s="25">
        <f>X14+Y14</f>
        <v/>
      </c>
      <c r="AA20" s="25">
        <f>SUMIF(第2节!$A$3:$A$313,A14,第2节!V$3:V$313)</f>
        <v/>
      </c>
      <c r="AB20" s="25">
        <f>SUMIF(第2节!$A$3:$A$313,A14,第2节!W$3:W$313)</f>
        <v/>
      </c>
      <c r="AC20" s="25">
        <f>SUMIF(第2节!$A$3:$A$313,A14,第2节!X$3:X$313)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COUNTIF(第2节!$A$3:$A$313,A15)</f>
        <v/>
      </c>
      <c r="C21" s="24">
        <f>SUMIF(第2节!$A$3:$A$313,A15,第2节!$C$3:$C$313)-SUMIF(第2节!$A$3:$A$313,A15,第2节!$B$3:$B$313)</f>
        <v/>
      </c>
      <c r="D21" s="25">
        <f>SUMIF(第2节!$A$3:$A$313,A15,第2节!D$3:D$313)</f>
        <v/>
      </c>
      <c r="E21" s="25">
        <f>SUMIF(第2节!$A$3:$A$313,A15,第2节!E$3:E$313)</f>
        <v/>
      </c>
      <c r="F21" s="25">
        <f>SUMIF(第2节!$A$3:$A$313,A15,第2节!F$3:F$313)</f>
        <v/>
      </c>
      <c r="G21" s="46">
        <f>IF(D15=0,0,ROUND(F15/(D15*2),3))</f>
        <v/>
      </c>
      <c r="H21" s="25">
        <f>SUMIF(第2节!$A$3:$A$313,A15,第2节!G$3:G$313)</f>
        <v/>
      </c>
      <c r="I21" s="25">
        <f>SUMIF(第2节!$A$3:$A$313,A15,第2节!H$3:H$313)</f>
        <v/>
      </c>
      <c r="J21" s="25">
        <f>SUMIF(第2节!$A$3:$A$313,A15,第2节!I$3:I$313)</f>
        <v/>
      </c>
      <c r="K21" s="46">
        <f>IF(H15=0,0,ROUND(J15/(H15*2),3))</f>
        <v/>
      </c>
      <c r="L21" s="25">
        <f>SUMIF(第2节!$A$3:$A$313,A15,第2节!J$3:J$313)</f>
        <v/>
      </c>
      <c r="M21" s="25">
        <f>SUMIF(第2节!$A$3:$A$313,A15,第2节!K$3:K$313)</f>
        <v/>
      </c>
      <c r="N21" s="25">
        <f>SUMIF(第2节!$A$3:$A$313,A15,第2节!L$3:L$313)</f>
        <v/>
      </c>
      <c r="O21" s="46">
        <f>IF(L15=0,0,ROUND(N15/(L15*3),3))</f>
        <v/>
      </c>
      <c r="P21" s="25">
        <f>SUMIF(第2节!$A$3:$A$313,A15,第2节!M$3:M$313)</f>
        <v/>
      </c>
      <c r="Q21" s="25">
        <f>SUMIF(第2节!$A$3:$A$313,A15,第2节!N$3:N$313)</f>
        <v/>
      </c>
      <c r="R21" s="25">
        <f>SUMIF(第2节!$A$3:$A$313,A15,第2节!O$3:O$313)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SUMIF(第2节!$A$3:$A$313,A15,第2节!S$3:S$313)</f>
        <v/>
      </c>
      <c r="Y21" s="25">
        <f>SUMIF(第2节!$A$3:$A$313,A15,第2节!T$3:T$313)</f>
        <v/>
      </c>
      <c r="Z21" s="25">
        <f>X15+Y15</f>
        <v/>
      </c>
      <c r="AA21" s="25">
        <f>SUMIF(第2节!$A$3:$A$313,A15,第2节!V$3:V$313)</f>
        <v/>
      </c>
      <c r="AB21" s="25">
        <f>SUMIF(第2节!$A$3:$A$313,A15,第2节!W$3:W$313)</f>
        <v/>
      </c>
      <c r="AC21" s="25">
        <f>SUMIF(第2节!$A$3:$A$313,A15,第2节!X$3:X$313)</f>
        <v/>
      </c>
      <c r="AD21" s="27" t="n"/>
    </row>
    <row r="22">
      <c r="A22" s="23" t="inlineStr">
        <is>
          <t>许馨墨</t>
        </is>
      </c>
      <c r="B22" s="23">
        <f>COUNTIF(第2节!$A$3:$A$313,A16)</f>
        <v/>
      </c>
      <c r="C22" s="24">
        <f>SUMIF(第2节!$A$3:$A$313,A16,第2节!$C$3:$C$313)-SUMIF(第2节!$A$3:$A$313,A16,第2节!$B$3:$B$313)</f>
        <v/>
      </c>
      <c r="D22" s="25">
        <f>SUMIF(第2节!$A$3:$A$313,A16,第2节!D$3:D$313)</f>
        <v/>
      </c>
      <c r="E22" s="25">
        <f>SUMIF(第2节!$A$3:$A$313,A16,第2节!E$3:E$313)</f>
        <v/>
      </c>
      <c r="F22" s="25">
        <f>SUMIF(第2节!$A$3:$A$313,A16,第2节!F$3:F$313)</f>
        <v/>
      </c>
      <c r="G22" s="46">
        <f>IF(D16=0,0,ROUND(F16/(D16*2),3))</f>
        <v/>
      </c>
      <c r="H22" s="25">
        <f>SUMIF(第2节!$A$3:$A$313,A16,第2节!G$3:G$313)</f>
        <v/>
      </c>
      <c r="I22" s="25">
        <f>SUMIF(第2节!$A$3:$A$313,A16,第2节!H$3:H$313)</f>
        <v/>
      </c>
      <c r="J22" s="25">
        <f>SUMIF(第2节!$A$3:$A$313,A16,第2节!I$3:I$313)</f>
        <v/>
      </c>
      <c r="K22" s="46">
        <f>IF(H16=0,0,ROUND(J16/(H16*2),3))</f>
        <v/>
      </c>
      <c r="L22" s="25">
        <f>SUMIF(第2节!$A$3:$A$313,A16,第2节!J$3:J$313)</f>
        <v/>
      </c>
      <c r="M22" s="25">
        <f>SUMIF(第2节!$A$3:$A$313,A16,第2节!K$3:K$313)</f>
        <v/>
      </c>
      <c r="N22" s="25">
        <f>SUMIF(第2节!$A$3:$A$313,A16,第2节!L$3:L$313)</f>
        <v/>
      </c>
      <c r="O22" s="46">
        <f>IF(L16=0,0,ROUND(N16/(L16*3),3))</f>
        <v/>
      </c>
      <c r="P22" s="25">
        <f>SUMIF(第2节!$A$3:$A$313,A16,第2节!M$3:M$313)</f>
        <v/>
      </c>
      <c r="Q22" s="25">
        <f>SUMIF(第2节!$A$3:$A$313,A16,第2节!N$3:N$313)</f>
        <v/>
      </c>
      <c r="R22" s="25">
        <f>SUMIF(第2节!$A$3:$A$313,A16,第2节!O$3:O$313)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SUMIF(第2节!$A$3:$A$313,A16,第2节!S$3:S$313)</f>
        <v/>
      </c>
      <c r="Y22" s="25">
        <f>SUMIF(第2节!$A$3:$A$313,A16,第2节!T$3:T$313)</f>
        <v/>
      </c>
      <c r="Z22" s="25">
        <f>X16+Y16</f>
        <v/>
      </c>
      <c r="AA22" s="25">
        <f>SUMIF(第2节!$A$3:$A$313,A16,第2节!V$3:V$313)</f>
        <v/>
      </c>
      <c r="AB22" s="25">
        <f>SUMIF(第2节!$A$3:$A$313,A16,第2节!W$3:W$313)</f>
        <v/>
      </c>
      <c r="AC22" s="25">
        <f>SUMIF(第2节!$A$3:$A$313,A16,第2节!X$3:X$313)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COUNTIF(第2节!$A$3:$A$313,A17)</f>
        <v/>
      </c>
      <c r="C23" s="24">
        <f>SUMIF(第2节!$A$3:$A$313,A17,第2节!$C$3:$C$313)-SUMIF(第2节!$A$3:$A$313,A17,第2节!$B$3:$B$313)</f>
        <v/>
      </c>
      <c r="D23" s="25">
        <f>SUMIF(第2节!$A$3:$A$313,A17,第2节!D$3:D$313)</f>
        <v/>
      </c>
      <c r="E23" s="25">
        <f>SUMIF(第2节!$A$3:$A$313,A17,第2节!E$3:E$313)</f>
        <v/>
      </c>
      <c r="F23" s="25">
        <f>SUMIF(第2节!$A$3:$A$313,A17,第2节!F$3:F$313)</f>
        <v/>
      </c>
      <c r="G23" s="46">
        <f>IF(D17=0,0,ROUND(F17/(D17*2),3))</f>
        <v/>
      </c>
      <c r="H23" s="25">
        <f>SUMIF(第2节!$A$3:$A$313,A17,第2节!G$3:G$313)</f>
        <v/>
      </c>
      <c r="I23" s="25">
        <f>SUMIF(第2节!$A$3:$A$313,A17,第2节!H$3:H$313)</f>
        <v/>
      </c>
      <c r="J23" s="25">
        <f>SUMIF(第2节!$A$3:$A$313,A17,第2节!I$3:I$313)</f>
        <v/>
      </c>
      <c r="K23" s="46">
        <f>IF(H17=0,0,ROUND(J17/(H17*2),3))</f>
        <v/>
      </c>
      <c r="L23" s="25">
        <f>SUMIF(第2节!$A$3:$A$313,A17,第2节!J$3:J$313)</f>
        <v/>
      </c>
      <c r="M23" s="25">
        <f>SUMIF(第2节!$A$3:$A$313,A17,第2节!K$3:K$313)</f>
        <v/>
      </c>
      <c r="N23" s="25">
        <f>SUMIF(第2节!$A$3:$A$313,A17,第2节!L$3:L$313)</f>
        <v/>
      </c>
      <c r="O23" s="46">
        <f>IF(L17=0,0,ROUND(N17/(L17*3),3))</f>
        <v/>
      </c>
      <c r="P23" s="25">
        <f>SUMIF(第2节!$A$3:$A$313,A17,第2节!M$3:M$313)</f>
        <v/>
      </c>
      <c r="Q23" s="25">
        <f>SUMIF(第2节!$A$3:$A$313,A17,第2节!N$3:N$313)</f>
        <v/>
      </c>
      <c r="R23" s="25">
        <f>SUMIF(第2节!$A$3:$A$313,A17,第2节!O$3:O$313)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SUMIF(第2节!$A$3:$A$313,A17,第2节!S$3:S$313)</f>
        <v/>
      </c>
      <c r="Y23" s="25">
        <f>SUMIF(第2节!$A$3:$A$313,A17,第2节!T$3:T$313)</f>
        <v/>
      </c>
      <c r="Z23" s="25">
        <f>X17+Y17</f>
        <v/>
      </c>
      <c r="AA23" s="25">
        <f>SUMIF(第2节!$A$3:$A$313,A17,第2节!V$3:V$313)</f>
        <v/>
      </c>
      <c r="AB23" s="25">
        <f>SUMIF(第2节!$A$3:$A$313,A17,第2节!W$3:W$313)</f>
        <v/>
      </c>
      <c r="AC23" s="25">
        <f>SUMIF(第2节!$A$3:$A$313,A17,第2节!X$3:X$313)</f>
        <v/>
      </c>
      <c r="AD23" s="27" t="n"/>
    </row>
    <row r="24">
      <c r="A24" s="23" t="inlineStr">
        <is>
          <t>B队球员8</t>
        </is>
      </c>
      <c r="B24" s="23">
        <f>COUNTIF(第2节!$A$3:$A$313,A17)</f>
        <v/>
      </c>
      <c r="C24" s="24">
        <f>SUMIF(第2节!$A$3:$A$313,A17,第2节!$C$3:$C$313)-SUMIF(第2节!$A$3:$A$313,A17,第2节!$B$3:$B$313)</f>
        <v/>
      </c>
      <c r="D24" s="25">
        <f>SUMIF(第2节!$A$3:$A$313,A17,第2节!D$3:D$313)</f>
        <v/>
      </c>
      <c r="E24" s="25">
        <f>SUMIF(第2节!$A$3:$A$313,A17,第2节!E$3:E$313)</f>
        <v/>
      </c>
      <c r="F24" s="25">
        <f>SUMIF(第2节!$A$3:$A$313,A17,第2节!F$3:F$313)</f>
        <v/>
      </c>
      <c r="G24" s="46">
        <f>IF(D17=0,0,ROUND(F17/(D17*2),3))</f>
        <v/>
      </c>
      <c r="H24" s="25">
        <f>SUMIF(第2节!$A$3:$A$313,A17,第2节!G$3:G$313)</f>
        <v/>
      </c>
      <c r="I24" s="25">
        <f>SUMIF(第2节!$A$3:$A$313,A17,第2节!H$3:H$313)</f>
        <v/>
      </c>
      <c r="J24" s="25">
        <f>SUMIF(第2节!$A$3:$A$313,A17,第2节!I$3:I$313)</f>
        <v/>
      </c>
      <c r="K24" s="46">
        <f>IF(H17=0,0,ROUND(J17/(H17*2),3))</f>
        <v/>
      </c>
      <c r="L24" s="25">
        <f>SUMIF(第2节!$A$3:$A$313,A17,第2节!J$3:J$313)</f>
        <v/>
      </c>
      <c r="M24" s="25">
        <f>SUMIF(第2节!$A$3:$A$313,A17,第2节!K$3:K$313)</f>
        <v/>
      </c>
      <c r="N24" s="25">
        <f>SUMIF(第2节!$A$3:$A$313,A17,第2节!L$3:L$313)</f>
        <v/>
      </c>
      <c r="O24" s="46">
        <f>IF(L17=0,0,ROUND(N17/(L17*3),3))</f>
        <v/>
      </c>
      <c r="P24" s="25">
        <f>SUMIF(第2节!$A$3:$A$313,A17,第2节!M$3:M$313)</f>
        <v/>
      </c>
      <c r="Q24" s="25">
        <f>SUMIF(第2节!$A$3:$A$313,A17,第2节!N$3:N$313)</f>
        <v/>
      </c>
      <c r="R24" s="25">
        <f>SUMIF(第2节!$A$3:$A$313,A17,第2节!O$3:O$313)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SUMIF(第2节!$A$3:$A$313,A17,第2节!S$3:S$313)</f>
        <v/>
      </c>
      <c r="Y24" s="25">
        <f>SUMIF(第2节!$A$3:$A$313,A17,第2节!T$3:T$313)</f>
        <v/>
      </c>
      <c r="Z24" s="25">
        <f>X17+Y17</f>
        <v/>
      </c>
      <c r="AA24" s="25">
        <f>SUMIF(第2节!$A$3:$A$313,A17,第2节!V$3:V$313)</f>
        <v/>
      </c>
      <c r="AB24" s="25">
        <f>SUMIF(第2节!$A$3:$A$313,A17,第2节!W$3:W$313)</f>
        <v/>
      </c>
      <c r="AC24" s="25">
        <f>SUMIF(第2节!$A$3:$A$313,A17,第2节!X$3:X$313)</f>
        <v/>
      </c>
      <c r="AD24" s="27" t="n"/>
    </row>
    <row r="25">
      <c r="A25" s="23" t="inlineStr">
        <is>
          <t>B队球员9</t>
        </is>
      </c>
      <c r="B25" s="23">
        <f>COUNTIF(第2节!$A$3:$A$313,A17)</f>
        <v/>
      </c>
      <c r="C25" s="24">
        <f>SUMIF(第2节!$A$3:$A$313,A17,第2节!$C$3:$C$313)-SUMIF(第2节!$A$3:$A$313,A17,第2节!$B$3:$B$313)</f>
        <v/>
      </c>
      <c r="D25" s="25">
        <f>SUMIF(第2节!$A$3:$A$313,A17,第2节!D$3:D$313)</f>
        <v/>
      </c>
      <c r="E25" s="25">
        <f>SUMIF(第2节!$A$3:$A$313,A17,第2节!E$3:E$313)</f>
        <v/>
      </c>
      <c r="F25" s="25">
        <f>SUMIF(第2节!$A$3:$A$313,A17,第2节!F$3:F$313)</f>
        <v/>
      </c>
      <c r="G25" s="46">
        <f>IF(D17=0,0,ROUND(F17/(D17*2),3))</f>
        <v/>
      </c>
      <c r="H25" s="25">
        <f>SUMIF(第2节!$A$3:$A$313,A17,第2节!G$3:G$313)</f>
        <v/>
      </c>
      <c r="I25" s="25">
        <f>SUMIF(第2节!$A$3:$A$313,A17,第2节!H$3:H$313)</f>
        <v/>
      </c>
      <c r="J25" s="25">
        <f>SUMIF(第2节!$A$3:$A$313,A17,第2节!I$3:I$313)</f>
        <v/>
      </c>
      <c r="K25" s="46">
        <f>IF(H17=0,0,ROUND(J17/(H17*2),3))</f>
        <v/>
      </c>
      <c r="L25" s="25">
        <f>SUMIF(第2节!$A$3:$A$313,A17,第2节!J$3:J$313)</f>
        <v/>
      </c>
      <c r="M25" s="25">
        <f>SUMIF(第2节!$A$3:$A$313,A17,第2节!K$3:K$313)</f>
        <v/>
      </c>
      <c r="N25" s="25">
        <f>SUMIF(第2节!$A$3:$A$313,A17,第2节!L$3:L$313)</f>
        <v/>
      </c>
      <c r="O25" s="46">
        <f>IF(L17=0,0,ROUND(N17/(L17*3),3))</f>
        <v/>
      </c>
      <c r="P25" s="25">
        <f>SUMIF(第2节!$A$3:$A$313,A17,第2节!M$3:M$313)</f>
        <v/>
      </c>
      <c r="Q25" s="25">
        <f>SUMIF(第2节!$A$3:$A$313,A17,第2节!N$3:N$313)</f>
        <v/>
      </c>
      <c r="R25" s="25">
        <f>SUMIF(第2节!$A$3:$A$313,A17,第2节!O$3:O$313)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SUMIF(第2节!$A$3:$A$313,A17,第2节!S$3:S$313)</f>
        <v/>
      </c>
      <c r="Y25" s="25">
        <f>SUMIF(第2节!$A$3:$A$313,A17,第2节!T$3:T$313)</f>
        <v/>
      </c>
      <c r="Z25" s="25">
        <f>X17+Y17</f>
        <v/>
      </c>
      <c r="AA25" s="25">
        <f>SUMIF(第2节!$A$3:$A$313,A17,第2节!V$3:V$313)</f>
        <v/>
      </c>
      <c r="AB25" s="25">
        <f>SUMIF(第2节!$A$3:$A$313,A17,第2节!W$3:W$313)</f>
        <v/>
      </c>
      <c r="AC25" s="25">
        <f>SUMIF(第2节!$A$3:$A$313,A17,第2节!X$3:X$313)</f>
        <v/>
      </c>
      <c r="AD25" s="27" t="n"/>
    </row>
    <row r="26">
      <c r="A26" s="23" t="inlineStr">
        <is>
          <t>B队球员10</t>
        </is>
      </c>
      <c r="B26" s="23">
        <f>COUNTIF(第2节!$A$3:$A$313,A17)</f>
        <v/>
      </c>
      <c r="C26" s="24">
        <f>SUMIF(第2节!$A$3:$A$313,A17,第2节!$C$3:$C$313)-SUMIF(第2节!$A$3:$A$313,A17,第2节!$B$3:$B$313)</f>
        <v/>
      </c>
      <c r="D26" s="25">
        <f>SUMIF(第2节!$A$3:$A$313,A17,第2节!D$3:D$313)</f>
        <v/>
      </c>
      <c r="E26" s="25">
        <f>SUMIF(第2节!$A$3:$A$313,A17,第2节!E$3:E$313)</f>
        <v/>
      </c>
      <c r="F26" s="25">
        <f>SUMIF(第2节!$A$3:$A$313,A17,第2节!F$3:F$313)</f>
        <v/>
      </c>
      <c r="G26" s="46">
        <f>IF(D17=0,0,ROUND(F17/(D17*2),3))</f>
        <v/>
      </c>
      <c r="H26" s="25">
        <f>SUMIF(第2节!$A$3:$A$313,A17,第2节!G$3:G$313)</f>
        <v/>
      </c>
      <c r="I26" s="25">
        <f>SUMIF(第2节!$A$3:$A$313,A17,第2节!H$3:H$313)</f>
        <v/>
      </c>
      <c r="J26" s="25">
        <f>SUMIF(第2节!$A$3:$A$313,A17,第2节!I$3:I$313)</f>
        <v/>
      </c>
      <c r="K26" s="46">
        <f>IF(H17=0,0,ROUND(J17/(H17*2),3))</f>
        <v/>
      </c>
      <c r="L26" s="25">
        <f>SUMIF(第2节!$A$3:$A$313,A17,第2节!J$3:J$313)</f>
        <v/>
      </c>
      <c r="M26" s="25">
        <f>SUMIF(第2节!$A$3:$A$313,A17,第2节!K$3:K$313)</f>
        <v/>
      </c>
      <c r="N26" s="25">
        <f>SUMIF(第2节!$A$3:$A$313,A17,第2节!L$3:L$313)</f>
        <v/>
      </c>
      <c r="O26" s="46">
        <f>IF(L17=0,0,ROUND(N17/(L17*3),3))</f>
        <v/>
      </c>
      <c r="P26" s="25">
        <f>SUMIF(第2节!$A$3:$A$313,A17,第2节!M$3:M$313)</f>
        <v/>
      </c>
      <c r="Q26" s="25">
        <f>SUMIF(第2节!$A$3:$A$313,A17,第2节!N$3:N$313)</f>
        <v/>
      </c>
      <c r="R26" s="25">
        <f>SUMIF(第2节!$A$3:$A$313,A17,第2节!O$3:O$313)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SUMIF(第2节!$A$3:$A$313,A17,第2节!S$3:S$313)</f>
        <v/>
      </c>
      <c r="Y26" s="25">
        <f>SUMIF(第2节!$A$3:$A$313,A17,第2节!T$3:T$313)</f>
        <v/>
      </c>
      <c r="Z26" s="25">
        <f>X17+Y17</f>
        <v/>
      </c>
      <c r="AA26" s="25">
        <f>SUMIF(第2节!$A$3:$A$313,A17,第2节!V$3:V$313)</f>
        <v/>
      </c>
      <c r="AB26" s="25">
        <f>SUMIF(第2节!$A$3:$A$313,A17,第2节!W$3:W$313)</f>
        <v/>
      </c>
      <c r="AC26" s="25">
        <f>SUMIF(第2节!$A$3:$A$313,A17,第2节!X$3:X$313)</f>
        <v/>
      </c>
      <c r="AD26" s="27" t="n"/>
    </row>
    <row r="27">
      <c r="A27" s="23" t="inlineStr">
        <is>
          <t>B队球员11</t>
        </is>
      </c>
      <c r="B27" s="23">
        <f>COUNTIF(第2节!$A$3:$A$313,A17)</f>
        <v/>
      </c>
      <c r="C27" s="24">
        <f>SUMIF(第2节!$A$3:$A$313,A17,第2节!$C$3:$C$313)-SUMIF(第2节!$A$3:$A$313,A17,第2节!$B$3:$B$313)</f>
        <v/>
      </c>
      <c r="D27" s="25">
        <f>SUMIF(第2节!$A$3:$A$313,A17,第2节!D$3:D$313)</f>
        <v/>
      </c>
      <c r="E27" s="25">
        <f>SUMIF(第2节!$A$3:$A$313,A17,第2节!E$3:E$313)</f>
        <v/>
      </c>
      <c r="F27" s="25">
        <f>SUMIF(第2节!$A$3:$A$313,A17,第2节!F$3:F$313)</f>
        <v/>
      </c>
      <c r="G27" s="46">
        <f>IF(D17=0,0,ROUND(F17/(D17*2),3))</f>
        <v/>
      </c>
      <c r="H27" s="25">
        <f>SUMIF(第2节!$A$3:$A$313,A17,第2节!G$3:G$313)</f>
        <v/>
      </c>
      <c r="I27" s="25">
        <f>SUMIF(第2节!$A$3:$A$313,A17,第2节!H$3:H$313)</f>
        <v/>
      </c>
      <c r="J27" s="25">
        <f>SUMIF(第2节!$A$3:$A$313,A17,第2节!I$3:I$313)</f>
        <v/>
      </c>
      <c r="K27" s="46">
        <f>IF(H17=0,0,ROUND(J17/(H17*2),3))</f>
        <v/>
      </c>
      <c r="L27" s="25">
        <f>SUMIF(第2节!$A$3:$A$313,A17,第2节!J$3:J$313)</f>
        <v/>
      </c>
      <c r="M27" s="25">
        <f>SUMIF(第2节!$A$3:$A$313,A17,第2节!K$3:K$313)</f>
        <v/>
      </c>
      <c r="N27" s="25">
        <f>SUMIF(第2节!$A$3:$A$313,A17,第2节!L$3:L$313)</f>
        <v/>
      </c>
      <c r="O27" s="46">
        <f>IF(L17=0,0,ROUND(N17/(L17*3),3))</f>
        <v/>
      </c>
      <c r="P27" s="25">
        <f>SUMIF(第2节!$A$3:$A$313,A17,第2节!M$3:M$313)</f>
        <v/>
      </c>
      <c r="Q27" s="25">
        <f>SUMIF(第2节!$A$3:$A$313,A17,第2节!N$3:N$313)</f>
        <v/>
      </c>
      <c r="R27" s="25">
        <f>SUMIF(第2节!$A$3:$A$313,A17,第2节!O$3:O$313)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SUMIF(第2节!$A$3:$A$313,A17,第2节!S$3:S$313)</f>
        <v/>
      </c>
      <c r="Y27" s="25">
        <f>SUMIF(第2节!$A$3:$A$313,A17,第2节!T$3:T$313)</f>
        <v/>
      </c>
      <c r="Z27" s="25">
        <f>X17+Y17</f>
        <v/>
      </c>
      <c r="AA27" s="25">
        <f>SUMIF(第2节!$A$3:$A$313,A17,第2节!V$3:V$313)</f>
        <v/>
      </c>
      <c r="AB27" s="25">
        <f>SUMIF(第2节!$A$3:$A$313,A17,第2节!W$3:W$313)</f>
        <v/>
      </c>
      <c r="AC27" s="25">
        <f>SUMIF(第2节!$A$3:$A$313,A17,第2节!X$3:X$313)</f>
        <v/>
      </c>
      <c r="AD27" s="27" t="n"/>
    </row>
    <row r="28">
      <c r="A28" s="23" t="inlineStr">
        <is>
          <t>B队球员12</t>
        </is>
      </c>
      <c r="B28" s="23">
        <f>COUNTIF(第2节!$A$3:$A$313,A17)</f>
        <v/>
      </c>
      <c r="C28" s="24">
        <f>SUMIF(第2节!$A$3:$A$313,A17,第2节!$C$3:$C$313)-SUMIF(第2节!$A$3:$A$313,A17,第2节!$B$3:$B$313)</f>
        <v/>
      </c>
      <c r="D28" s="25">
        <f>SUMIF(第2节!$A$3:$A$313,A17,第2节!D$3:D$313)</f>
        <v/>
      </c>
      <c r="E28" s="25">
        <f>SUMIF(第2节!$A$3:$A$313,A17,第2节!E$3:E$313)</f>
        <v/>
      </c>
      <c r="F28" s="25">
        <f>SUMIF(第2节!$A$3:$A$313,A17,第2节!F$3:F$313)</f>
        <v/>
      </c>
      <c r="G28" s="46">
        <f>IF(D17=0,0,ROUND(F17/(D17*2),3))</f>
        <v/>
      </c>
      <c r="H28" s="25">
        <f>SUMIF(第2节!$A$3:$A$313,A17,第2节!G$3:G$313)</f>
        <v/>
      </c>
      <c r="I28" s="25">
        <f>SUMIF(第2节!$A$3:$A$313,A17,第2节!H$3:H$313)</f>
        <v/>
      </c>
      <c r="J28" s="25">
        <f>SUMIF(第2节!$A$3:$A$313,A17,第2节!I$3:I$313)</f>
        <v/>
      </c>
      <c r="K28" s="46">
        <f>IF(H17=0,0,ROUND(J17/(H17*2),3))</f>
        <v/>
      </c>
      <c r="L28" s="25">
        <f>SUMIF(第2节!$A$3:$A$313,A17,第2节!J$3:J$313)</f>
        <v/>
      </c>
      <c r="M28" s="25">
        <f>SUMIF(第2节!$A$3:$A$313,A17,第2节!K$3:K$313)</f>
        <v/>
      </c>
      <c r="N28" s="25">
        <f>SUMIF(第2节!$A$3:$A$313,A17,第2节!L$3:L$313)</f>
        <v/>
      </c>
      <c r="O28" s="46">
        <f>IF(L17=0,0,ROUND(N17/(L17*3),3))</f>
        <v/>
      </c>
      <c r="P28" s="25">
        <f>SUMIF(第2节!$A$3:$A$313,A17,第2节!M$3:M$313)</f>
        <v/>
      </c>
      <c r="Q28" s="25">
        <f>SUMIF(第2节!$A$3:$A$313,A17,第2节!N$3:N$313)</f>
        <v/>
      </c>
      <c r="R28" s="25">
        <f>SUMIF(第2节!$A$3:$A$313,A17,第2节!O$3:O$313)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SUMIF(第2节!$A$3:$A$313,A17,第2节!S$3:S$313)</f>
        <v/>
      </c>
      <c r="Y28" s="25">
        <f>SUMIF(第2节!$A$3:$A$313,A17,第2节!T$3:T$313)</f>
        <v/>
      </c>
      <c r="Z28" s="25">
        <f>X17+Y17</f>
        <v/>
      </c>
      <c r="AA28" s="25">
        <f>SUMIF(第2节!$A$3:$A$313,A17,第2节!V$3:V$313)</f>
        <v/>
      </c>
      <c r="AB28" s="25">
        <f>SUMIF(第2节!$A$3:$A$313,A17,第2节!W$3:W$313)</f>
        <v/>
      </c>
      <c r="AC28" s="25">
        <f>SUMIF(第2节!$A$3:$A$313,A17,第2节!X$3:X$313)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SUMPRODUCT(COUNTIF($A$4:$A$9,第3节!$A$3:$A$313))</f>
        <v/>
      </c>
      <c r="C3" s="10">
        <f>SUMPRODUCT(COUNTIF($A$4:$A$9,第3节!$A$3:$A$313),第3节!$C$3:$C$313)-SUMPRODUCT(COUNTIF($A$4:$A$9,第3节!$A$3:$A$313),第3节!$B$3:$B$313)</f>
        <v/>
      </c>
      <c r="D3" s="11">
        <f>SUMPRODUCT(COUNTIF($A$4:$A$9,第3节!$A$3:$A$313),第3节!D$3:D$313)</f>
        <v/>
      </c>
      <c r="E3" s="11">
        <f>SUMPRODUCT(COUNTIF($A$4:$A$9,第3节!$A$3:$A$313),第3节!E$3:E$313)</f>
        <v/>
      </c>
      <c r="F3" s="11">
        <f>SUMPRODUCT(COUNTIF($A$4:$A$9,第3节!$A$3:$A$313),第3节!F$3:F$313)</f>
        <v/>
      </c>
      <c r="G3" s="43">
        <f>IF(D3=0,0,ROUND(F3/(D3*2),3))</f>
        <v/>
      </c>
      <c r="H3" s="11">
        <f>SUMPRODUCT(COUNTIF($A$4:$A$9,第3节!$A$3:$A$313),第3节!G$3:G$313)</f>
        <v/>
      </c>
      <c r="I3" s="11">
        <f>SUMPRODUCT(COUNTIF($A$4:$A$9,第3节!$A$3:$A$313),第3节!H$3:H$313)</f>
        <v/>
      </c>
      <c r="J3" s="11">
        <f>SUMPRODUCT(COUNTIF($A$4:$A$9,第3节!$A$3:$A$313),第3节!I$3:I$313)</f>
        <v/>
      </c>
      <c r="K3" s="43">
        <f>IF(H3=0,0,ROUND(J3/(H3*2),3))</f>
        <v/>
      </c>
      <c r="L3" s="11">
        <f>SUMPRODUCT(COUNTIF($A$4:$A$9,第3节!$A$3:$A$313),第3节!J$3:J$313)</f>
        <v/>
      </c>
      <c r="M3" s="11">
        <f>SUMPRODUCT(COUNTIF($A$4:$A$9,第3节!$A$3:$A$313),第3节!K$3:K$313)</f>
        <v/>
      </c>
      <c r="N3" s="11">
        <f>SUMPRODUCT(COUNTIF($A$4:$A$9,第3节!$A$3:$A$313),第3节!L$3:L$313)</f>
        <v/>
      </c>
      <c r="O3" s="43">
        <f>IF(L3=0,0,ROUND(N3/(L3*3),3))</f>
        <v/>
      </c>
      <c r="P3" s="11">
        <f>SUMPRODUCT(COUNTIF($A$4:$A$9,第3节!$A$3:$A$313),第3节!M$3:M$313)</f>
        <v/>
      </c>
      <c r="Q3" s="11">
        <f>SUMPRODUCT(COUNTIF($A$4:$A$9,第3节!$A$3:$A$313),第3节!N$3:N$313)</f>
        <v/>
      </c>
      <c r="R3" s="11">
        <f>SUMPRODUCT(COUNTIF($A$4:$A$9,第3节!$A$3:$A$313),第3节!O$3:O$313)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SUMPRODUCT(COUNTIF($A$4:$A$9,第3节!$A$3:$A$313),第3节!S$3:S$313)</f>
        <v/>
      </c>
      <c r="Y3" s="11">
        <f>SUMPRODUCT(COUNTIF($A$4:$A$9,第3节!$A$3:$A$313),第3节!T$3:T$313)</f>
        <v/>
      </c>
      <c r="Z3" s="11">
        <f>X3+Y3</f>
        <v/>
      </c>
      <c r="AA3" s="11">
        <f>SUMPRODUCT(COUNTIF($A$4:$A$9,第3节!$A$3:$A$313),第3节!V$3:V$313)</f>
        <v/>
      </c>
      <c r="AB3" s="11">
        <f>SUMPRODUCT(COUNTIF($A$4:$A$9,第3节!$A$3:$A$313),第3节!W$3:W$313)</f>
        <v/>
      </c>
      <c r="AC3" s="11">
        <f>SUMPRODUCT(COUNTIF($A$4:$A$9,第3节!$A$3:$A$313),第3节!X$3:X$313)</f>
        <v/>
      </c>
      <c r="AD3" s="13" t="n"/>
    </row>
    <row r="4" ht="22.5" customHeight="1">
      <c r="A4" s="14" t="inlineStr">
        <is>
          <t>陈赞安</t>
        </is>
      </c>
      <c r="B4" s="14">
        <f>COUNTIF(第3节!$A$3:$A$313,A4)</f>
        <v/>
      </c>
      <c r="C4" s="15">
        <f>SUMIF(第3节!$A$3:$A$313,A4,第3节!$C$3:$C$313)-SUMIF(第3节!$A$3:$A$313,A4,第3节!$B$3:$B$313)</f>
        <v/>
      </c>
      <c r="D4" s="16">
        <f>SUMIF(第3节!$A$3:$A$313,A4,第3节!D$3:D$313)</f>
        <v/>
      </c>
      <c r="E4" s="16">
        <f>SUMIF(第3节!$A$3:$A$313,A4,第3节!E$3:E$313)</f>
        <v/>
      </c>
      <c r="F4" s="16">
        <f>SUMIF(第3节!$A$3:$A$313,A4,第3节!F$3:F$313)</f>
        <v/>
      </c>
      <c r="G4" s="44">
        <f>IF(D4=0,0,ROUND(F4/(D4*2),3))</f>
        <v/>
      </c>
      <c r="H4" s="16">
        <f>SUMIF(第3节!$A$3:$A$313,A4,第3节!G$3:G$313)</f>
        <v/>
      </c>
      <c r="I4" s="16">
        <f>SUMIF(第3节!$A$3:$A$313,A4,第3节!H$3:H$313)</f>
        <v/>
      </c>
      <c r="J4" s="16">
        <f>SUMIF(第3节!$A$3:$A$313,A4,第3节!I$3:I$313)</f>
        <v/>
      </c>
      <c r="K4" s="44">
        <f>IF(H4=0,0,ROUND(J4/(H4*2),3))</f>
        <v/>
      </c>
      <c r="L4" s="16">
        <f>SUMIF(第3节!$A$3:$A$313,A4,第3节!J$3:J$313)</f>
        <v/>
      </c>
      <c r="M4" s="16">
        <f>SUMIF(第3节!$A$3:$A$313,A4,第3节!K$3:K$313)</f>
        <v/>
      </c>
      <c r="N4" s="16">
        <f>SUMIF(第3节!$A$3:$A$313,A4,第3节!L$3:L$313)</f>
        <v/>
      </c>
      <c r="O4" s="44">
        <f>IF(L4=0,0,ROUND(N4/(L4*3),3))</f>
        <v/>
      </c>
      <c r="P4" s="16">
        <f>SUMIF(第3节!$A$3:$A$313,A4,第3节!M$3:M$313)</f>
        <v/>
      </c>
      <c r="Q4" s="16">
        <f>SUMIF(第3节!$A$3:$A$313,A4,第3节!N$3:N$313)</f>
        <v/>
      </c>
      <c r="R4" s="16">
        <f>SUMIF(第3节!$A$3:$A$313,A4,第3节!O$3:O$313)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SUMIF(第3节!$A$3:$A$313,A4,第3节!S$3:S$313)</f>
        <v/>
      </c>
      <c r="Y4" s="16">
        <f>SUMIF(第3节!$A$3:$A$313,A4,第3节!T$3:T$313)</f>
        <v/>
      </c>
      <c r="Z4" s="16">
        <f>X4+Y4</f>
        <v/>
      </c>
      <c r="AA4" s="16">
        <f>SUMIF(第3节!$A$3:$A$313,A4,第3节!V$3:V$313)</f>
        <v/>
      </c>
      <c r="AB4" s="16">
        <f>SUMIF(第3节!$A$3:$A$313,A4,第3节!W$3:W$313)</f>
        <v/>
      </c>
      <c r="AC4" s="16">
        <f>SUMIF(第3节!$A$3:$A$313,A4,第3节!X$3:X$313)</f>
        <v/>
      </c>
      <c r="AD4" s="18" t="n"/>
    </row>
    <row r="5" ht="22.5" customHeight="1">
      <c r="A5" s="14" t="inlineStr">
        <is>
          <t>张绪然</t>
        </is>
      </c>
      <c r="B5" s="14">
        <f>COUNTIF(第3节!$A$3:$A$313,A5)</f>
        <v/>
      </c>
      <c r="C5" s="15">
        <f>SUMIF(第3节!$A$3:$A$313,A5,第3节!$C$3:$C$313)-SUMIF(第3节!$A$3:$A$313,A5,第3节!$B$3:$B$313)</f>
        <v/>
      </c>
      <c r="D5" s="16">
        <f>SUMIF(第3节!$A$3:$A$313,A5,第3节!D$3:D$313)</f>
        <v/>
      </c>
      <c r="E5" s="16">
        <f>SUMIF(第3节!$A$3:$A$313,A5,第3节!E$3:E$313)</f>
        <v/>
      </c>
      <c r="F5" s="16">
        <f>SUMIF(第3节!$A$3:$A$313,A5,第3节!F$3:F$313)</f>
        <v/>
      </c>
      <c r="G5" s="44">
        <f>IF(D5=0,0,ROUND(F5/(D5*2),3))</f>
        <v/>
      </c>
      <c r="H5" s="16">
        <f>SUMIF(第3节!$A$3:$A$313,A5,第3节!G$3:G$313)</f>
        <v/>
      </c>
      <c r="I5" s="16">
        <f>SUMIF(第3节!$A$3:$A$313,A5,第3节!H$3:H$313)</f>
        <v/>
      </c>
      <c r="J5" s="16">
        <f>SUMIF(第3节!$A$3:$A$313,A5,第3节!I$3:I$313)</f>
        <v/>
      </c>
      <c r="K5" s="44">
        <f>IF(H5=0,0,ROUND(J5/(H5*2),3))</f>
        <v/>
      </c>
      <c r="L5" s="16">
        <f>SUMIF(第3节!$A$3:$A$313,A5,第3节!J$3:J$313)</f>
        <v/>
      </c>
      <c r="M5" s="16">
        <f>SUMIF(第3节!$A$3:$A$313,A5,第3节!K$3:K$313)</f>
        <v/>
      </c>
      <c r="N5" s="16">
        <f>SUMIF(第3节!$A$3:$A$313,A5,第3节!L$3:L$313)</f>
        <v/>
      </c>
      <c r="O5" s="44">
        <f>IF(L5=0,0,ROUND(N5/(L5*3),3))</f>
        <v/>
      </c>
      <c r="P5" s="16">
        <f>SUMIF(第3节!$A$3:$A$313,A5,第3节!M$3:M$313)</f>
        <v/>
      </c>
      <c r="Q5" s="16">
        <f>SUMIF(第3节!$A$3:$A$313,A5,第3节!N$3:N$313)</f>
        <v/>
      </c>
      <c r="R5" s="16">
        <f>SUMIF(第3节!$A$3:$A$313,A5,第3节!O$3:O$313)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SUMIF(第3节!$A$3:$A$313,A5,第3节!S$3:S$313)</f>
        <v/>
      </c>
      <c r="Y5" s="16">
        <f>SUMIF(第3节!$A$3:$A$313,A5,第3节!T$3:T$313)</f>
        <v/>
      </c>
      <c r="Z5" s="16">
        <f>X5+Y5</f>
        <v/>
      </c>
      <c r="AA5" s="16">
        <f>SUMIF(第3节!$A$3:$A$313,A5,第3节!V$3:V$313)</f>
        <v/>
      </c>
      <c r="AB5" s="16">
        <f>SUMIF(第3节!$A$3:$A$313,A5,第3节!W$3:W$313)</f>
        <v/>
      </c>
      <c r="AC5" s="16">
        <f>SUMIF(第3节!$A$3:$A$313,A5,第3节!X$3:X$313)</f>
        <v/>
      </c>
      <c r="AD5" s="18" t="n"/>
    </row>
    <row r="6" ht="22.5" customHeight="1">
      <c r="A6" s="14" t="inlineStr">
        <is>
          <t>雷奕梵</t>
        </is>
      </c>
      <c r="B6" s="14">
        <f>COUNTIF(第3节!$A$3:$A$313,A6)</f>
        <v/>
      </c>
      <c r="C6" s="15">
        <f>SUMIF(第3节!$A$3:$A$313,A6,第3节!$C$3:$C$313)-SUMIF(第3节!$A$3:$A$313,A6,第3节!$B$3:$B$313)</f>
        <v/>
      </c>
      <c r="D6" s="16">
        <f>SUMIF(第3节!$A$3:$A$313,A6,第3节!D$3:D$313)</f>
        <v/>
      </c>
      <c r="E6" s="16">
        <f>SUMIF(第3节!$A$3:$A$313,A6,第3节!E$3:E$313)</f>
        <v/>
      </c>
      <c r="F6" s="16">
        <f>SUMIF(第3节!$A$3:$A$313,A6,第3节!F$3:F$313)</f>
        <v/>
      </c>
      <c r="G6" s="44">
        <f>IF(D6=0,0,ROUND(F6/(D6*2),3))</f>
        <v/>
      </c>
      <c r="H6" s="16">
        <f>SUMIF(第3节!$A$3:$A$313,A6,第3节!G$3:G$313)</f>
        <v/>
      </c>
      <c r="I6" s="16">
        <f>SUMIF(第3节!$A$3:$A$313,A6,第3节!H$3:H$313)</f>
        <v/>
      </c>
      <c r="J6" s="16">
        <f>SUMIF(第3节!$A$3:$A$313,A6,第3节!I$3:I$313)</f>
        <v/>
      </c>
      <c r="K6" s="44">
        <f>IF(H6=0,0,ROUND(J6/(H6*2),3))</f>
        <v/>
      </c>
      <c r="L6" s="16">
        <f>SUMIF(第3节!$A$3:$A$313,A6,第3节!J$3:J$313)</f>
        <v/>
      </c>
      <c r="M6" s="16">
        <f>SUMIF(第3节!$A$3:$A$313,A6,第3节!K$3:K$313)</f>
        <v/>
      </c>
      <c r="N6" s="16">
        <f>SUMIF(第3节!$A$3:$A$313,A6,第3节!L$3:L$313)</f>
        <v/>
      </c>
      <c r="O6" s="44">
        <f>IF(L6=0,0,ROUND(N6/(L6*3),3))</f>
        <v/>
      </c>
      <c r="P6" s="16">
        <f>SUMIF(第3节!$A$3:$A$313,A6,第3节!M$3:M$313)</f>
        <v/>
      </c>
      <c r="Q6" s="16">
        <f>SUMIF(第3节!$A$3:$A$313,A6,第3节!N$3:N$313)</f>
        <v/>
      </c>
      <c r="R6" s="16">
        <f>SUMIF(第3节!$A$3:$A$313,A6,第3节!O$3:O$313)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SUMIF(第3节!$A$3:$A$313,A6,第3节!S$3:S$313)</f>
        <v/>
      </c>
      <c r="Y6" s="16">
        <f>SUMIF(第3节!$A$3:$A$313,A6,第3节!T$3:T$313)</f>
        <v/>
      </c>
      <c r="Z6" s="16">
        <f>X6+Y6</f>
        <v/>
      </c>
      <c r="AA6" s="16">
        <f>SUMIF(第3节!$A$3:$A$313,A6,第3节!V$3:V$313)</f>
        <v/>
      </c>
      <c r="AB6" s="16">
        <f>SUMIF(第3节!$A$3:$A$313,A6,第3节!W$3:W$313)</f>
        <v/>
      </c>
      <c r="AC6" s="16">
        <f>SUMIF(第3节!$A$3:$A$313,A6,第3节!X$3:X$313)</f>
        <v/>
      </c>
      <c r="AD6" s="18" t="n"/>
    </row>
    <row r="7" ht="22.5" customHeight="1">
      <c r="A7" s="14" t="inlineStr">
        <is>
          <t>洪浩哲</t>
        </is>
      </c>
      <c r="B7" s="14">
        <f>COUNTIF(第3节!$A$3:$A$313,A7)</f>
        <v/>
      </c>
      <c r="C7" s="15">
        <f>SUMIF(第3节!$A$3:$A$313,A7,第3节!$C$3:$C$313)-SUMIF(第3节!$A$3:$A$313,A7,第3节!$B$3:$B$313)</f>
        <v/>
      </c>
      <c r="D7" s="16">
        <f>SUMIF(第3节!$A$3:$A$313,A7,第3节!D$3:D$313)</f>
        <v/>
      </c>
      <c r="E7" s="16">
        <f>SUMIF(第3节!$A$3:$A$313,A7,第3节!E$3:E$313)</f>
        <v/>
      </c>
      <c r="F7" s="16">
        <f>SUMIF(第3节!$A$3:$A$313,A7,第3节!F$3:F$313)</f>
        <v/>
      </c>
      <c r="G7" s="44">
        <f>IF(D7=0,0,ROUND(F7/(D7*2),3))</f>
        <v/>
      </c>
      <c r="H7" s="16">
        <f>SUMIF(第3节!$A$3:$A$313,A7,第3节!G$3:G$313)</f>
        <v/>
      </c>
      <c r="I7" s="16">
        <f>SUMIF(第3节!$A$3:$A$313,A7,第3节!H$3:H$313)</f>
        <v/>
      </c>
      <c r="J7" s="16">
        <f>SUMIF(第3节!$A$3:$A$313,A7,第3节!I$3:I$313)</f>
        <v/>
      </c>
      <c r="K7" s="44">
        <f>IF(H7=0,0,ROUND(J7/(H7*2),3))</f>
        <v/>
      </c>
      <c r="L7" s="16">
        <f>SUMIF(第3节!$A$3:$A$313,A7,第3节!J$3:J$313)</f>
        <v/>
      </c>
      <c r="M7" s="16">
        <f>SUMIF(第3节!$A$3:$A$313,A7,第3节!K$3:K$313)</f>
        <v/>
      </c>
      <c r="N7" s="16">
        <f>SUMIF(第3节!$A$3:$A$313,A7,第3节!L$3:L$313)</f>
        <v/>
      </c>
      <c r="O7" s="44">
        <f>IF(L7=0,0,ROUND(N7/(L7*3),3))</f>
        <v/>
      </c>
      <c r="P7" s="16">
        <f>SUMIF(第3节!$A$3:$A$313,A7,第3节!M$3:M$313)</f>
        <v/>
      </c>
      <c r="Q7" s="16">
        <f>SUMIF(第3节!$A$3:$A$313,A7,第3节!N$3:N$313)</f>
        <v/>
      </c>
      <c r="R7" s="16">
        <f>SUMIF(第3节!$A$3:$A$313,A7,第3节!O$3:O$313)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SUMIF(第3节!$A$3:$A$313,A7,第3节!S$3:S$313)</f>
        <v/>
      </c>
      <c r="Y7" s="16">
        <f>SUMIF(第3节!$A$3:$A$313,A7,第3节!T$3:T$313)</f>
        <v/>
      </c>
      <c r="Z7" s="16">
        <f>X7+Y7</f>
        <v/>
      </c>
      <c r="AA7" s="16">
        <f>SUMIF(第3节!$A$3:$A$313,A7,第3节!V$3:V$313)</f>
        <v/>
      </c>
      <c r="AB7" s="16">
        <f>SUMIF(第3节!$A$3:$A$313,A7,第3节!W$3:W$313)</f>
        <v/>
      </c>
      <c r="AC7" s="16">
        <f>SUMIF(第3节!$A$3:$A$313,A7,第3节!X$3:X$313)</f>
        <v/>
      </c>
      <c r="AD7" s="18" t="n"/>
    </row>
    <row r="8" ht="22.5" customHeight="1">
      <c r="A8" s="14" t="inlineStr">
        <is>
          <t>刘炎昊</t>
        </is>
      </c>
      <c r="B8" s="14">
        <f>COUNTIF(第3节!$A$3:$A$313,A8)</f>
        <v/>
      </c>
      <c r="C8" s="15">
        <f>SUMIF(第3节!$A$3:$A$313,A8,第3节!$C$3:$C$313)-SUMIF(第3节!$A$3:$A$313,A8,第3节!$B$3:$B$313)</f>
        <v/>
      </c>
      <c r="D8" s="16">
        <f>SUMIF(第3节!$A$3:$A$313,A8,第3节!D$3:D$313)</f>
        <v/>
      </c>
      <c r="E8" s="16">
        <f>SUMIF(第3节!$A$3:$A$313,A8,第3节!E$3:E$313)</f>
        <v/>
      </c>
      <c r="F8" s="16">
        <f>SUMIF(第3节!$A$3:$A$313,A8,第3节!F$3:F$313)</f>
        <v/>
      </c>
      <c r="G8" s="44">
        <f>IF(D8=0,0,ROUND(F8/(D8*2),3))</f>
        <v/>
      </c>
      <c r="H8" s="16">
        <f>SUMIF(第3节!$A$3:$A$313,A8,第3节!G$3:G$313)</f>
        <v/>
      </c>
      <c r="I8" s="16">
        <f>SUMIF(第3节!$A$3:$A$313,A8,第3节!H$3:H$313)</f>
        <v/>
      </c>
      <c r="J8" s="16">
        <f>SUMIF(第3节!$A$3:$A$313,A8,第3节!I$3:I$313)</f>
        <v/>
      </c>
      <c r="K8" s="44">
        <f>IF(H8=0,0,ROUND(J8/(H8*2),3))</f>
        <v/>
      </c>
      <c r="L8" s="16">
        <f>SUMIF(第3节!$A$3:$A$313,A8,第3节!J$3:J$313)</f>
        <v/>
      </c>
      <c r="M8" s="16">
        <f>SUMIF(第3节!$A$3:$A$313,A8,第3节!K$3:K$313)</f>
        <v/>
      </c>
      <c r="N8" s="16">
        <f>SUMIF(第3节!$A$3:$A$313,A8,第3节!L$3:L$313)</f>
        <v/>
      </c>
      <c r="O8" s="44">
        <f>IF(L8=0,0,ROUND(N8/(L8*3),3))</f>
        <v/>
      </c>
      <c r="P8" s="16">
        <f>SUMIF(第3节!$A$3:$A$313,A8,第3节!M$3:M$313)</f>
        <v/>
      </c>
      <c r="Q8" s="16">
        <f>SUMIF(第3节!$A$3:$A$313,A8,第3节!N$3:N$313)</f>
        <v/>
      </c>
      <c r="R8" s="16">
        <f>SUMIF(第3节!$A$3:$A$313,A8,第3节!O$3:O$313)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SUMIF(第3节!$A$3:$A$313,A8,第3节!S$3:S$313)</f>
        <v/>
      </c>
      <c r="Y8" s="16">
        <f>SUMIF(第3节!$A$3:$A$313,A8,第3节!T$3:T$313)</f>
        <v/>
      </c>
      <c r="Z8" s="16">
        <f>X8+Y8</f>
        <v/>
      </c>
      <c r="AA8" s="16">
        <f>SUMIF(第3节!$A$3:$A$313,A8,第3节!V$3:V$313)</f>
        <v/>
      </c>
      <c r="AB8" s="16">
        <f>SUMIF(第3节!$A$3:$A$313,A8,第3节!W$3:W$313)</f>
        <v/>
      </c>
      <c r="AC8" s="16">
        <f>SUMIF(第3节!$A$3:$A$313,A8,第3节!X$3:X$313)</f>
        <v/>
      </c>
      <c r="AD8" s="18" t="n"/>
    </row>
    <row r="9" ht="22.5" customHeight="1">
      <c r="A9" s="14" t="inlineStr">
        <is>
          <t>施柏宇</t>
        </is>
      </c>
      <c r="B9" s="14">
        <f>COUNTIF(第3节!$A$3:$A$313,A9)</f>
        <v/>
      </c>
      <c r="C9" s="15">
        <f>SUMIF(第3节!$A$3:$A$313,A9,第3节!$C$3:$C$313)-SUMIF(第3节!$A$3:$A$313,A9,第3节!$B$3:$B$313)</f>
        <v/>
      </c>
      <c r="D9" s="16">
        <f>SUMIF(第3节!$A$3:$A$313,A9,第3节!D$3:D$313)</f>
        <v/>
      </c>
      <c r="E9" s="16">
        <f>SUMIF(第3节!$A$3:$A$313,A9,第3节!E$3:E$313)</f>
        <v/>
      </c>
      <c r="F9" s="16">
        <f>SUMIF(第3节!$A$3:$A$313,A9,第3节!F$3:F$313)</f>
        <v/>
      </c>
      <c r="G9" s="44">
        <f>IF(D9=0,0,ROUND(F9/(D9*2),3))</f>
        <v/>
      </c>
      <c r="H9" s="16">
        <f>SUMIF(第3节!$A$3:$A$313,A9,第3节!G$3:G$313)</f>
        <v/>
      </c>
      <c r="I9" s="16">
        <f>SUMIF(第3节!$A$3:$A$313,A9,第3节!H$3:H$313)</f>
        <v/>
      </c>
      <c r="J9" s="16">
        <f>SUMIF(第3节!$A$3:$A$313,A9,第3节!I$3:I$313)</f>
        <v/>
      </c>
      <c r="K9" s="44">
        <f>IF(H9=0,0,ROUND(J9/(H9*2),3))</f>
        <v/>
      </c>
      <c r="L9" s="16">
        <f>SUMIF(第3节!$A$3:$A$313,A9,第3节!J$3:J$313)</f>
        <v/>
      </c>
      <c r="M9" s="16">
        <f>SUMIF(第3节!$A$3:$A$313,A9,第3节!K$3:K$313)</f>
        <v/>
      </c>
      <c r="N9" s="16">
        <f>SUMIF(第3节!$A$3:$A$313,A9,第3节!L$3:L$313)</f>
        <v/>
      </c>
      <c r="O9" s="44">
        <f>IF(L9=0,0,ROUND(N9/(L9*3),3))</f>
        <v/>
      </c>
      <c r="P9" s="16">
        <f>SUMIF(第3节!$A$3:$A$313,A9,第3节!M$3:M$313)</f>
        <v/>
      </c>
      <c r="Q9" s="16">
        <f>SUMIF(第3节!$A$3:$A$313,A9,第3节!N$3:N$313)</f>
        <v/>
      </c>
      <c r="R9" s="16">
        <f>SUMIF(第3节!$A$3:$A$313,A9,第3节!O$3:O$313)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SUMIF(第3节!$A$3:$A$313,A9,第3节!S$3:S$313)</f>
        <v/>
      </c>
      <c r="Y9" s="16">
        <f>SUMIF(第3节!$A$3:$A$313,A9,第3节!T$3:T$313)</f>
        <v/>
      </c>
      <c r="Z9" s="16">
        <f>X9+Y9</f>
        <v/>
      </c>
      <c r="AA9" s="16">
        <f>SUMIF(第3节!$A$3:$A$313,A9,第3节!V$3:V$313)</f>
        <v/>
      </c>
      <c r="AB9" s="16">
        <f>SUMIF(第3节!$A$3:$A$313,A9,第3节!W$3:W$313)</f>
        <v/>
      </c>
      <c r="AC9" s="16">
        <f>SUMIF(第3节!$A$3:$A$313,A9,第3节!X$3:X$313)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COUNTIF(第3节!$A$3:$A$313,A9)</f>
        <v/>
      </c>
      <c r="C10" s="15">
        <f>SUMIF(第3节!$A$3:$A$313,A9,第3节!$C$3:$C$313)-SUMIF(第3节!$A$3:$A$313,A9,第3节!$B$3:$B$313)</f>
        <v/>
      </c>
      <c r="D10" s="16">
        <f>SUMIF(第3节!$A$3:$A$313,A9,第3节!D$3:D$313)</f>
        <v/>
      </c>
      <c r="E10" s="16">
        <f>SUMIF(第3节!$A$3:$A$313,A9,第3节!E$3:E$313)</f>
        <v/>
      </c>
      <c r="F10" s="16">
        <f>SUMIF(第3节!$A$3:$A$313,A9,第3节!F$3:F$313)</f>
        <v/>
      </c>
      <c r="G10" s="44">
        <f>IF(D9=0,0,ROUND(F9/(D9*2),3))</f>
        <v/>
      </c>
      <c r="H10" s="16">
        <f>SUMIF(第3节!$A$3:$A$313,A9,第3节!G$3:G$313)</f>
        <v/>
      </c>
      <c r="I10" s="16">
        <f>SUMIF(第3节!$A$3:$A$313,A9,第3节!H$3:H$313)</f>
        <v/>
      </c>
      <c r="J10" s="16">
        <f>SUMIF(第3节!$A$3:$A$313,A9,第3节!I$3:I$313)</f>
        <v/>
      </c>
      <c r="K10" s="44">
        <f>IF(H9=0,0,ROUND(J9/(H9*2),3))</f>
        <v/>
      </c>
      <c r="L10" s="16">
        <f>SUMIF(第3节!$A$3:$A$313,A9,第3节!J$3:J$313)</f>
        <v/>
      </c>
      <c r="M10" s="16">
        <f>SUMIF(第3节!$A$3:$A$313,A9,第3节!K$3:K$313)</f>
        <v/>
      </c>
      <c r="N10" s="16">
        <f>SUMIF(第3节!$A$3:$A$313,A9,第3节!L$3:L$313)</f>
        <v/>
      </c>
      <c r="O10" s="44">
        <f>IF(L9=0,0,ROUND(N9/(L9*3),3))</f>
        <v/>
      </c>
      <c r="P10" s="16">
        <f>SUMIF(第3节!$A$3:$A$313,A9,第3节!M$3:M$313)</f>
        <v/>
      </c>
      <c r="Q10" s="16">
        <f>SUMIF(第3节!$A$3:$A$313,A9,第3节!N$3:N$313)</f>
        <v/>
      </c>
      <c r="R10" s="16">
        <f>SUMIF(第3节!$A$3:$A$313,A9,第3节!O$3:O$313)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SUMIF(第3节!$A$3:$A$313,A9,第3节!S$3:S$313)</f>
        <v/>
      </c>
      <c r="Y10" s="16">
        <f>SUMIF(第3节!$A$3:$A$313,A9,第3节!T$3:T$313)</f>
        <v/>
      </c>
      <c r="Z10" s="16">
        <f>X9+Y9</f>
        <v/>
      </c>
      <c r="AA10" s="16">
        <f>SUMIF(第3节!$A$3:$A$313,A9,第3节!V$3:V$313)</f>
        <v/>
      </c>
      <c r="AB10" s="16">
        <f>SUMIF(第3节!$A$3:$A$313,A9,第3节!W$3:W$313)</f>
        <v/>
      </c>
      <c r="AC10" s="16">
        <f>SUMIF(第3节!$A$3:$A$313,A9,第3节!X$3:X$313)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COUNTIF(第3节!$A$3:$A$313,A9)</f>
        <v/>
      </c>
      <c r="C11" s="15">
        <f>SUMIF(第3节!$A$3:$A$313,A9,第3节!$C$3:$C$313)-SUMIF(第3节!$A$3:$A$313,A9,第3节!$B$3:$B$313)</f>
        <v/>
      </c>
      <c r="D11" s="16">
        <f>SUMIF(第3节!$A$3:$A$313,A9,第3节!D$3:D$313)</f>
        <v/>
      </c>
      <c r="E11" s="16">
        <f>SUMIF(第3节!$A$3:$A$313,A9,第3节!E$3:E$313)</f>
        <v/>
      </c>
      <c r="F11" s="16">
        <f>SUMIF(第3节!$A$3:$A$313,A9,第3节!F$3:F$313)</f>
        <v/>
      </c>
      <c r="G11" s="44">
        <f>IF(D9=0,0,ROUND(F9/(D9*2),3))</f>
        <v/>
      </c>
      <c r="H11" s="16">
        <f>SUMIF(第3节!$A$3:$A$313,A9,第3节!G$3:G$313)</f>
        <v/>
      </c>
      <c r="I11" s="16">
        <f>SUMIF(第3节!$A$3:$A$313,A9,第3节!H$3:H$313)</f>
        <v/>
      </c>
      <c r="J11" s="16">
        <f>SUMIF(第3节!$A$3:$A$313,A9,第3节!I$3:I$313)</f>
        <v/>
      </c>
      <c r="K11" s="44">
        <f>IF(H9=0,0,ROUND(J9/(H9*2),3))</f>
        <v/>
      </c>
      <c r="L11" s="16">
        <f>SUMIF(第3节!$A$3:$A$313,A9,第3节!J$3:J$313)</f>
        <v/>
      </c>
      <c r="M11" s="16">
        <f>SUMIF(第3节!$A$3:$A$313,A9,第3节!K$3:K$313)</f>
        <v/>
      </c>
      <c r="N11" s="16">
        <f>SUMIF(第3节!$A$3:$A$313,A9,第3节!L$3:L$313)</f>
        <v/>
      </c>
      <c r="O11" s="44">
        <f>IF(L9=0,0,ROUND(N9/(L9*3),3))</f>
        <v/>
      </c>
      <c r="P11" s="16">
        <f>SUMIF(第3节!$A$3:$A$313,A9,第3节!M$3:M$313)</f>
        <v/>
      </c>
      <c r="Q11" s="16">
        <f>SUMIF(第3节!$A$3:$A$313,A9,第3节!N$3:N$313)</f>
        <v/>
      </c>
      <c r="R11" s="16">
        <f>SUMIF(第3节!$A$3:$A$313,A9,第3节!O$3:O$313)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SUMIF(第3节!$A$3:$A$313,A9,第3节!S$3:S$313)</f>
        <v/>
      </c>
      <c r="Y11" s="16">
        <f>SUMIF(第3节!$A$3:$A$313,A9,第3节!T$3:T$313)</f>
        <v/>
      </c>
      <c r="Z11" s="16">
        <f>X9+Y9</f>
        <v/>
      </c>
      <c r="AA11" s="16">
        <f>SUMIF(第3节!$A$3:$A$313,A9,第3节!V$3:V$313)</f>
        <v/>
      </c>
      <c r="AB11" s="16">
        <f>SUMIF(第3节!$A$3:$A$313,A9,第3节!W$3:W$313)</f>
        <v/>
      </c>
      <c r="AC11" s="16">
        <f>SUMIF(第3节!$A$3:$A$313,A9,第3节!X$3:X$313)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COUNTIF(第3节!$A$3:$A$313,A9)</f>
        <v/>
      </c>
      <c r="C12" s="15">
        <f>SUMIF(第3节!$A$3:$A$313,A9,第3节!$C$3:$C$313)-SUMIF(第3节!$A$3:$A$313,A9,第3节!$B$3:$B$313)</f>
        <v/>
      </c>
      <c r="D12" s="16">
        <f>SUMIF(第3节!$A$3:$A$313,A9,第3节!D$3:D$313)</f>
        <v/>
      </c>
      <c r="E12" s="16">
        <f>SUMIF(第3节!$A$3:$A$313,A9,第3节!E$3:E$313)</f>
        <v/>
      </c>
      <c r="F12" s="16">
        <f>SUMIF(第3节!$A$3:$A$313,A9,第3节!F$3:F$313)</f>
        <v/>
      </c>
      <c r="G12" s="44">
        <f>IF(D9=0,0,ROUND(F9/(D9*2),3))</f>
        <v/>
      </c>
      <c r="H12" s="16">
        <f>SUMIF(第3节!$A$3:$A$313,A9,第3节!G$3:G$313)</f>
        <v/>
      </c>
      <c r="I12" s="16">
        <f>SUMIF(第3节!$A$3:$A$313,A9,第3节!H$3:H$313)</f>
        <v/>
      </c>
      <c r="J12" s="16">
        <f>SUMIF(第3节!$A$3:$A$313,A9,第3节!I$3:I$313)</f>
        <v/>
      </c>
      <c r="K12" s="44">
        <f>IF(H9=0,0,ROUND(J9/(H9*2),3))</f>
        <v/>
      </c>
      <c r="L12" s="16">
        <f>SUMIF(第3节!$A$3:$A$313,A9,第3节!J$3:J$313)</f>
        <v/>
      </c>
      <c r="M12" s="16">
        <f>SUMIF(第3节!$A$3:$A$313,A9,第3节!K$3:K$313)</f>
        <v/>
      </c>
      <c r="N12" s="16">
        <f>SUMIF(第3节!$A$3:$A$313,A9,第3节!L$3:L$313)</f>
        <v/>
      </c>
      <c r="O12" s="44">
        <f>IF(L9=0,0,ROUND(N9/(L9*3),3))</f>
        <v/>
      </c>
      <c r="P12" s="16">
        <f>SUMIF(第3节!$A$3:$A$313,A9,第3节!M$3:M$313)</f>
        <v/>
      </c>
      <c r="Q12" s="16">
        <f>SUMIF(第3节!$A$3:$A$313,A9,第3节!N$3:N$313)</f>
        <v/>
      </c>
      <c r="R12" s="16">
        <f>SUMIF(第3节!$A$3:$A$313,A9,第3节!O$3:O$313)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SUMIF(第3节!$A$3:$A$313,A9,第3节!S$3:S$313)</f>
        <v/>
      </c>
      <c r="Y12" s="16">
        <f>SUMIF(第3节!$A$3:$A$313,A9,第3节!T$3:T$313)</f>
        <v/>
      </c>
      <c r="Z12" s="16">
        <f>X9+Y9</f>
        <v/>
      </c>
      <c r="AA12" s="16">
        <f>SUMIF(第3节!$A$3:$A$313,A9,第3节!V$3:V$313)</f>
        <v/>
      </c>
      <c r="AB12" s="16">
        <f>SUMIF(第3节!$A$3:$A$313,A9,第3节!W$3:W$313)</f>
        <v/>
      </c>
      <c r="AC12" s="16">
        <f>SUMIF(第3节!$A$3:$A$313,A9,第3节!X$3:X$313)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COUNTIF(第3节!$A$3:$A$313,A9)</f>
        <v/>
      </c>
      <c r="C13" s="15">
        <f>SUMIF(第3节!$A$3:$A$313,A9,第3节!$C$3:$C$313)-SUMIF(第3节!$A$3:$A$313,A9,第3节!$B$3:$B$313)</f>
        <v/>
      </c>
      <c r="D13" s="16">
        <f>SUMIF(第3节!$A$3:$A$313,A9,第3节!D$3:D$313)</f>
        <v/>
      </c>
      <c r="E13" s="16">
        <f>SUMIF(第3节!$A$3:$A$313,A9,第3节!E$3:E$313)</f>
        <v/>
      </c>
      <c r="F13" s="16">
        <f>SUMIF(第3节!$A$3:$A$313,A9,第3节!F$3:F$313)</f>
        <v/>
      </c>
      <c r="G13" s="44">
        <f>IF(D9=0,0,ROUND(F9/(D9*2),3))</f>
        <v/>
      </c>
      <c r="H13" s="16">
        <f>SUMIF(第3节!$A$3:$A$313,A9,第3节!G$3:G$313)</f>
        <v/>
      </c>
      <c r="I13" s="16">
        <f>SUMIF(第3节!$A$3:$A$313,A9,第3节!H$3:H$313)</f>
        <v/>
      </c>
      <c r="J13" s="16">
        <f>SUMIF(第3节!$A$3:$A$313,A9,第3节!I$3:I$313)</f>
        <v/>
      </c>
      <c r="K13" s="44">
        <f>IF(H9=0,0,ROUND(J9/(H9*2),3))</f>
        <v/>
      </c>
      <c r="L13" s="16">
        <f>SUMIF(第3节!$A$3:$A$313,A9,第3节!J$3:J$313)</f>
        <v/>
      </c>
      <c r="M13" s="16">
        <f>SUMIF(第3节!$A$3:$A$313,A9,第3节!K$3:K$313)</f>
        <v/>
      </c>
      <c r="N13" s="16">
        <f>SUMIF(第3节!$A$3:$A$313,A9,第3节!L$3:L$313)</f>
        <v/>
      </c>
      <c r="O13" s="44">
        <f>IF(L9=0,0,ROUND(N9/(L9*3),3))</f>
        <v/>
      </c>
      <c r="P13" s="16">
        <f>SUMIF(第3节!$A$3:$A$313,A9,第3节!M$3:M$313)</f>
        <v/>
      </c>
      <c r="Q13" s="16">
        <f>SUMIF(第3节!$A$3:$A$313,A9,第3节!N$3:N$313)</f>
        <v/>
      </c>
      <c r="R13" s="16">
        <f>SUMIF(第3节!$A$3:$A$313,A9,第3节!O$3:O$313)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SUMIF(第3节!$A$3:$A$313,A9,第3节!S$3:S$313)</f>
        <v/>
      </c>
      <c r="Y13" s="16">
        <f>SUMIF(第3节!$A$3:$A$313,A9,第3节!T$3:T$313)</f>
        <v/>
      </c>
      <c r="Z13" s="16">
        <f>X9+Y9</f>
        <v/>
      </c>
      <c r="AA13" s="16">
        <f>SUMIF(第3节!$A$3:$A$313,A9,第3节!V$3:V$313)</f>
        <v/>
      </c>
      <c r="AB13" s="16">
        <f>SUMIF(第3节!$A$3:$A$313,A9,第3节!W$3:W$313)</f>
        <v/>
      </c>
      <c r="AC13" s="16">
        <f>SUMIF(第3节!$A$3:$A$313,A9,第3节!X$3:X$313)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COUNTIF(第3节!$A$3:$A$313,A9)</f>
        <v/>
      </c>
      <c r="C14" s="15">
        <f>SUMIF(第3节!$A$3:$A$313,A9,第3节!$C$3:$C$313)-SUMIF(第3节!$A$3:$A$313,A9,第3节!$B$3:$B$313)</f>
        <v/>
      </c>
      <c r="D14" s="16">
        <f>SUMIF(第3节!$A$3:$A$313,A9,第3节!D$3:D$313)</f>
        <v/>
      </c>
      <c r="E14" s="16">
        <f>SUMIF(第3节!$A$3:$A$313,A9,第3节!E$3:E$313)</f>
        <v/>
      </c>
      <c r="F14" s="16">
        <f>SUMIF(第3节!$A$3:$A$313,A9,第3节!F$3:F$313)</f>
        <v/>
      </c>
      <c r="G14" s="44">
        <f>IF(D9=0,0,ROUND(F9/(D9*2),3))</f>
        <v/>
      </c>
      <c r="H14" s="16">
        <f>SUMIF(第3节!$A$3:$A$313,A9,第3节!G$3:G$313)</f>
        <v/>
      </c>
      <c r="I14" s="16">
        <f>SUMIF(第3节!$A$3:$A$313,A9,第3节!H$3:H$313)</f>
        <v/>
      </c>
      <c r="J14" s="16">
        <f>SUMIF(第3节!$A$3:$A$313,A9,第3节!I$3:I$313)</f>
        <v/>
      </c>
      <c r="K14" s="44">
        <f>IF(H9=0,0,ROUND(J9/(H9*2),3))</f>
        <v/>
      </c>
      <c r="L14" s="16">
        <f>SUMIF(第3节!$A$3:$A$313,A9,第3节!J$3:J$313)</f>
        <v/>
      </c>
      <c r="M14" s="16">
        <f>SUMIF(第3节!$A$3:$A$313,A9,第3节!K$3:K$313)</f>
        <v/>
      </c>
      <c r="N14" s="16">
        <f>SUMIF(第3节!$A$3:$A$313,A9,第3节!L$3:L$313)</f>
        <v/>
      </c>
      <c r="O14" s="44">
        <f>IF(L9=0,0,ROUND(N9/(L9*3),3))</f>
        <v/>
      </c>
      <c r="P14" s="16">
        <f>SUMIF(第3节!$A$3:$A$313,A9,第3节!M$3:M$313)</f>
        <v/>
      </c>
      <c r="Q14" s="16">
        <f>SUMIF(第3节!$A$3:$A$313,A9,第3节!N$3:N$313)</f>
        <v/>
      </c>
      <c r="R14" s="16">
        <f>SUMIF(第3节!$A$3:$A$313,A9,第3节!O$3:O$313)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SUMIF(第3节!$A$3:$A$313,A9,第3节!S$3:S$313)</f>
        <v/>
      </c>
      <c r="Y14" s="16">
        <f>SUMIF(第3节!$A$3:$A$313,A9,第3节!T$3:T$313)</f>
        <v/>
      </c>
      <c r="Z14" s="16">
        <f>X9+Y9</f>
        <v/>
      </c>
      <c r="AA14" s="16">
        <f>SUMIF(第3节!$A$3:$A$313,A9,第3节!V$3:V$313)</f>
        <v/>
      </c>
      <c r="AB14" s="16">
        <f>SUMIF(第3节!$A$3:$A$313,A9,第3节!W$3:W$313)</f>
        <v/>
      </c>
      <c r="AC14" s="16">
        <f>SUMIF(第3节!$A$3:$A$313,A9,第3节!X$3:X$313)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COUNTIF(第3节!$A$3:$A$313,A9)</f>
        <v/>
      </c>
      <c r="C15" s="15">
        <f>SUMIF(第3节!$A$3:$A$313,A9,第3节!$C$3:$C$313)-SUMIF(第3节!$A$3:$A$313,A9,第3节!$B$3:$B$313)</f>
        <v/>
      </c>
      <c r="D15" s="16">
        <f>SUMIF(第3节!$A$3:$A$313,A9,第3节!D$3:D$313)</f>
        <v/>
      </c>
      <c r="E15" s="16">
        <f>SUMIF(第3节!$A$3:$A$313,A9,第3节!E$3:E$313)</f>
        <v/>
      </c>
      <c r="F15" s="16">
        <f>SUMIF(第3节!$A$3:$A$313,A9,第3节!F$3:F$313)</f>
        <v/>
      </c>
      <c r="G15" s="44">
        <f>IF(D9=0,0,ROUND(F9/(D9*2),3))</f>
        <v/>
      </c>
      <c r="H15" s="16">
        <f>SUMIF(第3节!$A$3:$A$313,A9,第3节!G$3:G$313)</f>
        <v/>
      </c>
      <c r="I15" s="16">
        <f>SUMIF(第3节!$A$3:$A$313,A9,第3节!H$3:H$313)</f>
        <v/>
      </c>
      <c r="J15" s="16">
        <f>SUMIF(第3节!$A$3:$A$313,A9,第3节!I$3:I$313)</f>
        <v/>
      </c>
      <c r="K15" s="44">
        <f>IF(H9=0,0,ROUND(J9/(H9*2),3))</f>
        <v/>
      </c>
      <c r="L15" s="16">
        <f>SUMIF(第3节!$A$3:$A$313,A9,第3节!J$3:J$313)</f>
        <v/>
      </c>
      <c r="M15" s="16">
        <f>SUMIF(第3节!$A$3:$A$313,A9,第3节!K$3:K$313)</f>
        <v/>
      </c>
      <c r="N15" s="16">
        <f>SUMIF(第3节!$A$3:$A$313,A9,第3节!L$3:L$313)</f>
        <v/>
      </c>
      <c r="O15" s="44">
        <f>IF(L9=0,0,ROUND(N9/(L9*3),3))</f>
        <v/>
      </c>
      <c r="P15" s="16">
        <f>SUMIF(第3节!$A$3:$A$313,A9,第3节!M$3:M$313)</f>
        <v/>
      </c>
      <c r="Q15" s="16">
        <f>SUMIF(第3节!$A$3:$A$313,A9,第3节!N$3:N$313)</f>
        <v/>
      </c>
      <c r="R15" s="16">
        <f>SUMIF(第3节!$A$3:$A$313,A9,第3节!O$3:O$313)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SUMIF(第3节!$A$3:$A$313,A9,第3节!S$3:S$313)</f>
        <v/>
      </c>
      <c r="Y15" s="16">
        <f>SUMIF(第3节!$A$3:$A$313,A9,第3节!T$3:T$313)</f>
        <v/>
      </c>
      <c r="Z15" s="16">
        <f>X9+Y9</f>
        <v/>
      </c>
      <c r="AA15" s="16">
        <f>SUMIF(第3节!$A$3:$A$313,A9,第3节!V$3:V$313)</f>
        <v/>
      </c>
      <c r="AB15" s="16">
        <f>SUMIF(第3节!$A$3:$A$313,A9,第3节!W$3:W$313)</f>
        <v/>
      </c>
      <c r="AC15" s="16">
        <f>SUMIF(第3节!$A$3:$A$313,A9,第3节!X$3:X$313)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SUMPRODUCT(COUNTIF($A$11:$A$17,第3节!$A$3:$A$313))</f>
        <v/>
      </c>
      <c r="C16" s="20">
        <f>SUMPRODUCT(COUNTIF($A$11:$A$17,第3节!$A$3:$A$313),第3节!$C$3:$C$313)-SUMPRODUCT(COUNTIF($A$11:$A$17,第3节!$A$3:$A$313),第3节!$B$3:$B$313)</f>
        <v/>
      </c>
      <c r="D16" s="19">
        <f>SUMPRODUCT(COUNTIF($A$11:$A$17,第3节!$A$3:$A$313),第3节!D$3:D$313)</f>
        <v/>
      </c>
      <c r="E16" s="19">
        <f>SUMPRODUCT(COUNTIF($A$11:$A$17,第3节!$A$3:$A$313),第3节!E$3:E$313)</f>
        <v/>
      </c>
      <c r="F16" s="19">
        <f>SUMPRODUCT(COUNTIF($A$11:$A$17,第3节!$A$3:$A$313),第3节!F$3:F$313)</f>
        <v/>
      </c>
      <c r="G16" s="45">
        <f>IF(D10=0,0,ROUND(F10/(D10*2),3))</f>
        <v/>
      </c>
      <c r="H16" s="19">
        <f>SUMPRODUCT(COUNTIF($A$11:$A$17,第3节!$A$3:$A$313),第3节!G$3:G$313)</f>
        <v/>
      </c>
      <c r="I16" s="19">
        <f>SUMPRODUCT(COUNTIF($A$11:$A$17,第3节!$A$3:$A$313),第3节!H$3:H$313)</f>
        <v/>
      </c>
      <c r="J16" s="19">
        <f>SUMPRODUCT(COUNTIF($A$11:$A$17,第3节!$A$3:$A$313),第3节!I$3:I$313)</f>
        <v/>
      </c>
      <c r="K16" s="45">
        <f>IF(H10=0,0,ROUND(J10/(H10*2),3))</f>
        <v/>
      </c>
      <c r="L16" s="19">
        <f>SUMPRODUCT(COUNTIF($A$11:$A$17,第3节!$A$3:$A$313),第3节!J$3:J$313)</f>
        <v/>
      </c>
      <c r="M16" s="19">
        <f>SUMPRODUCT(COUNTIF($A$11:$A$17,第3节!$A$3:$A$313),第3节!K$3:K$313)</f>
        <v/>
      </c>
      <c r="N16" s="19">
        <f>SUMPRODUCT(COUNTIF($A$11:$A$17,第3节!$A$3:$A$313),第3节!L$3:L$313)</f>
        <v/>
      </c>
      <c r="O16" s="45">
        <f>IF(L10=0,0,ROUND(N10/(L10*3),3))</f>
        <v/>
      </c>
      <c r="P16" s="19">
        <f>SUMPRODUCT(COUNTIF($A$11:$A$17,第3节!$A$3:$A$313),第3节!M$3:M$313)</f>
        <v/>
      </c>
      <c r="Q16" s="19">
        <f>SUMPRODUCT(COUNTIF($A$11:$A$17,第3节!$A$3:$A$313),第3节!N$3:N$313)</f>
        <v/>
      </c>
      <c r="R16" s="19">
        <f>SUMPRODUCT(COUNTIF($A$11:$A$17,第3节!$A$3:$A$313),第3节!O$3:O$313)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SUMPRODUCT(COUNTIF($A$11:$A$17,第3节!$A$3:$A$313),第3节!S$3:S$313)</f>
        <v/>
      </c>
      <c r="Y16" s="19">
        <f>SUMPRODUCT(COUNTIF($A$11:$A$17,第3节!$A$3:$A$313),第3节!T$3:T$313)</f>
        <v/>
      </c>
      <c r="Z16" s="19">
        <f>X10+Y10</f>
        <v/>
      </c>
      <c r="AA16" s="19">
        <f>SUMPRODUCT(COUNTIF($A$11:$A$17,第3节!$A$3:$A$313),第3节!V$3:V$313)</f>
        <v/>
      </c>
      <c r="AB16" s="19">
        <f>SUMPRODUCT(COUNTIF($A$11:$A$17,第3节!$A$3:$A$313),第3节!W$3:W$313)</f>
        <v/>
      </c>
      <c r="AC16" s="19">
        <f>SUMPRODUCT(COUNTIF($A$11:$A$17,第3节!$A$3:$A$313),第3节!X$3:X$313)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COUNTIF(第3节!$A$3:$A$313,A11)</f>
        <v/>
      </c>
      <c r="C17" s="24">
        <f>SUMIF(第3节!$A$3:$A$313,A11,第3节!$C$3:$C$313)-SUMIF(第3节!$A$3:$A$313,A11,第3节!$B$3:$B$313)</f>
        <v/>
      </c>
      <c r="D17" s="25">
        <f>SUMIF(第3节!$A$3:$A$313,A11,第3节!D$3:D$313)</f>
        <v/>
      </c>
      <c r="E17" s="25">
        <f>SUMIF(第3节!$A$3:$A$313,A11,第3节!E$3:E$313)</f>
        <v/>
      </c>
      <c r="F17" s="25">
        <f>SUMIF(第3节!$A$3:$A$313,A11,第3节!F$3:F$313)</f>
        <v/>
      </c>
      <c r="G17" s="46">
        <f>IF(D11=0,0,ROUND(F11/(D11*2),3))</f>
        <v/>
      </c>
      <c r="H17" s="25">
        <f>SUMIF(第3节!$A$3:$A$313,A11,第3节!G$3:G$313)</f>
        <v/>
      </c>
      <c r="I17" s="25">
        <f>SUMIF(第3节!$A$3:$A$313,A11,第3节!H$3:H$313)</f>
        <v/>
      </c>
      <c r="J17" s="25">
        <f>SUMIF(第3节!$A$3:$A$313,A11,第3节!I$3:I$313)</f>
        <v/>
      </c>
      <c r="K17" s="46">
        <f>IF(H11=0,0,ROUND(J11/(H11*2),3))</f>
        <v/>
      </c>
      <c r="L17" s="25">
        <f>SUMIF(第3节!$A$3:$A$313,A11,第3节!J$3:J$313)</f>
        <v/>
      </c>
      <c r="M17" s="25">
        <f>SUMIF(第3节!$A$3:$A$313,A11,第3节!K$3:K$313)</f>
        <v/>
      </c>
      <c r="N17" s="25">
        <f>SUMIF(第3节!$A$3:$A$313,A11,第3节!L$3:L$313)</f>
        <v/>
      </c>
      <c r="O17" s="46">
        <f>IF(L11=0,0,ROUND(N11/(L11*3),3))</f>
        <v/>
      </c>
      <c r="P17" s="25">
        <f>SUMIF(第3节!$A$3:$A$313,A11,第3节!M$3:M$313)</f>
        <v/>
      </c>
      <c r="Q17" s="25">
        <f>SUMIF(第3节!$A$3:$A$313,A11,第3节!N$3:N$313)</f>
        <v/>
      </c>
      <c r="R17" s="25">
        <f>SUMIF(第3节!$A$3:$A$313,A11,第3节!O$3:O$313)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SUMIF(第3节!$A$3:$A$313,A11,第3节!S$3:S$313)</f>
        <v/>
      </c>
      <c r="Y17" s="25">
        <f>SUMIF(第3节!$A$3:$A$313,A11,第3节!T$3:T$313)</f>
        <v/>
      </c>
      <c r="Z17" s="25">
        <f>X11+Y11</f>
        <v/>
      </c>
      <c r="AA17" s="25">
        <f>SUMIF(第3节!$A$3:$A$313,A11,第3节!V$3:V$313)</f>
        <v/>
      </c>
      <c r="AB17" s="25">
        <f>SUMIF(第3节!$A$3:$A$313,A11,第3节!W$3:W$313)</f>
        <v/>
      </c>
      <c r="AC17" s="25">
        <f>SUMIF(第3节!$A$3:$A$313,A11,第3节!X$3:X$313)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COUNTIF(第3节!$A$3:$A$313,A12)</f>
        <v/>
      </c>
      <c r="C18" s="24">
        <f>SUMIF(第3节!$A$3:$A$313,A12,第3节!$C$3:$C$313)-SUMIF(第3节!$A$3:$A$313,A12,第3节!$B$3:$B$313)</f>
        <v/>
      </c>
      <c r="D18" s="25">
        <f>SUMIF(第3节!$A$3:$A$313,A12,第3节!D$3:D$313)</f>
        <v/>
      </c>
      <c r="E18" s="25">
        <f>SUMIF(第3节!$A$3:$A$313,A12,第3节!E$3:E$313)</f>
        <v/>
      </c>
      <c r="F18" s="25">
        <f>SUMIF(第3节!$A$3:$A$313,A12,第3节!F$3:F$313)</f>
        <v/>
      </c>
      <c r="G18" s="46">
        <f>IF(D12=0,0,ROUND(F12/(D12*2),3))</f>
        <v/>
      </c>
      <c r="H18" s="25">
        <f>SUMIF(第3节!$A$3:$A$313,A12,第3节!G$3:G$313)</f>
        <v/>
      </c>
      <c r="I18" s="25">
        <f>SUMIF(第3节!$A$3:$A$313,A12,第3节!H$3:H$313)</f>
        <v/>
      </c>
      <c r="J18" s="25">
        <f>SUMIF(第3节!$A$3:$A$313,A12,第3节!I$3:I$313)</f>
        <v/>
      </c>
      <c r="K18" s="46">
        <f>IF(H12=0,0,ROUND(J12/(H12*2),3))</f>
        <v/>
      </c>
      <c r="L18" s="25">
        <f>SUMIF(第3节!$A$3:$A$313,A12,第3节!J$3:J$313)</f>
        <v/>
      </c>
      <c r="M18" s="25">
        <f>SUMIF(第3节!$A$3:$A$313,A12,第3节!K$3:K$313)</f>
        <v/>
      </c>
      <c r="N18" s="25">
        <f>SUMIF(第3节!$A$3:$A$313,A12,第3节!L$3:L$313)</f>
        <v/>
      </c>
      <c r="O18" s="46">
        <f>IF(L12=0,0,ROUND(N12/(L12*3),3))</f>
        <v/>
      </c>
      <c r="P18" s="25">
        <f>SUMIF(第3节!$A$3:$A$313,A12,第3节!M$3:M$313)</f>
        <v/>
      </c>
      <c r="Q18" s="25">
        <f>SUMIF(第3节!$A$3:$A$313,A12,第3节!N$3:N$313)</f>
        <v/>
      </c>
      <c r="R18" s="25">
        <f>SUMIF(第3节!$A$3:$A$313,A12,第3节!O$3:O$313)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SUMIF(第3节!$A$3:$A$313,A12,第3节!S$3:S$313)</f>
        <v/>
      </c>
      <c r="Y18" s="25">
        <f>SUMIF(第3节!$A$3:$A$313,A12,第3节!T$3:T$313)</f>
        <v/>
      </c>
      <c r="Z18" s="25">
        <f>X12+Y12</f>
        <v/>
      </c>
      <c r="AA18" s="25">
        <f>SUMIF(第3节!$A$3:$A$313,A12,第3节!V$3:V$313)</f>
        <v/>
      </c>
      <c r="AB18" s="25">
        <f>SUMIF(第3节!$A$3:$A$313,A12,第3节!W$3:W$313)</f>
        <v/>
      </c>
      <c r="AC18" s="25">
        <f>SUMIF(第3节!$A$3:$A$313,A12,第3节!X$3:X$313)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COUNTIF(第3节!$A$3:$A$313,A13)</f>
        <v/>
      </c>
      <c r="C19" s="24">
        <f>SUMIF(第3节!$A$3:$A$313,A13,第3节!$C$3:$C$313)-SUMIF(第3节!$A$3:$A$313,A13,第3节!$B$3:$B$313)</f>
        <v/>
      </c>
      <c r="D19" s="25">
        <f>SUMIF(第3节!$A$3:$A$313,A13,第3节!D$3:D$313)</f>
        <v/>
      </c>
      <c r="E19" s="25">
        <f>SUMIF(第3节!$A$3:$A$313,A13,第3节!E$3:E$313)</f>
        <v/>
      </c>
      <c r="F19" s="25">
        <f>SUMIF(第3节!$A$3:$A$313,A13,第3节!F$3:F$313)</f>
        <v/>
      </c>
      <c r="G19" s="46">
        <f>IF(D13=0,0,ROUND(F13/(D13*2),3))</f>
        <v/>
      </c>
      <c r="H19" s="25">
        <f>SUMIF(第3节!$A$3:$A$313,A13,第3节!G$3:G$313)</f>
        <v/>
      </c>
      <c r="I19" s="25">
        <f>SUMIF(第3节!$A$3:$A$313,A13,第3节!H$3:H$313)</f>
        <v/>
      </c>
      <c r="J19" s="25">
        <f>SUMIF(第3节!$A$3:$A$313,A13,第3节!I$3:I$313)</f>
        <v/>
      </c>
      <c r="K19" s="46">
        <f>IF(H13=0,0,ROUND(J13/(H13*2),3))</f>
        <v/>
      </c>
      <c r="L19" s="25">
        <f>SUMIF(第3节!$A$3:$A$313,A13,第3节!J$3:J$313)</f>
        <v/>
      </c>
      <c r="M19" s="25">
        <f>SUMIF(第3节!$A$3:$A$313,A13,第3节!K$3:K$313)</f>
        <v/>
      </c>
      <c r="N19" s="25">
        <f>SUMIF(第3节!$A$3:$A$313,A13,第3节!L$3:L$313)</f>
        <v/>
      </c>
      <c r="O19" s="46">
        <f>IF(L13=0,0,ROUND(N13/(L13*3),3))</f>
        <v/>
      </c>
      <c r="P19" s="25">
        <f>SUMIF(第3节!$A$3:$A$313,A13,第3节!M$3:M$313)</f>
        <v/>
      </c>
      <c r="Q19" s="25">
        <f>SUMIF(第3节!$A$3:$A$313,A13,第3节!N$3:N$313)</f>
        <v/>
      </c>
      <c r="R19" s="25">
        <f>SUMIF(第3节!$A$3:$A$313,A13,第3节!O$3:O$313)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SUMIF(第3节!$A$3:$A$313,A13,第3节!S$3:S$313)</f>
        <v/>
      </c>
      <c r="Y19" s="25">
        <f>SUMIF(第3节!$A$3:$A$313,A13,第3节!T$3:T$313)</f>
        <v/>
      </c>
      <c r="Z19" s="25">
        <f>X13+Y13</f>
        <v/>
      </c>
      <c r="AA19" s="25">
        <f>SUMIF(第3节!$A$3:$A$313,A13,第3节!V$3:V$313)</f>
        <v/>
      </c>
      <c r="AB19" s="25">
        <f>SUMIF(第3节!$A$3:$A$313,A13,第3节!W$3:W$313)</f>
        <v/>
      </c>
      <c r="AC19" s="25">
        <f>SUMIF(第3节!$A$3:$A$313,A13,第3节!X$3:X$313)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COUNTIF(第3节!$A$3:$A$313,A14)</f>
        <v/>
      </c>
      <c r="C20" s="24">
        <f>SUMIF(第3节!$A$3:$A$313,A14,第3节!$C$3:$C$313)-SUMIF(第3节!$A$3:$A$313,A14,第3节!$B$3:$B$313)</f>
        <v/>
      </c>
      <c r="D20" s="25">
        <f>SUMIF(第3节!$A$3:$A$313,A14,第3节!D$3:D$313)</f>
        <v/>
      </c>
      <c r="E20" s="25">
        <f>SUMIF(第3节!$A$3:$A$313,A14,第3节!E$3:E$313)</f>
        <v/>
      </c>
      <c r="F20" s="25">
        <f>SUMIF(第3节!$A$3:$A$313,A14,第3节!F$3:F$313)</f>
        <v/>
      </c>
      <c r="G20" s="46">
        <f>IF(D14=0,0,ROUND(F14/(D14*2),3))</f>
        <v/>
      </c>
      <c r="H20" s="25">
        <f>SUMIF(第3节!$A$3:$A$313,A14,第3节!G$3:G$313)</f>
        <v/>
      </c>
      <c r="I20" s="25">
        <f>SUMIF(第3节!$A$3:$A$313,A14,第3节!H$3:H$313)</f>
        <v/>
      </c>
      <c r="J20" s="25">
        <f>SUMIF(第3节!$A$3:$A$313,A14,第3节!I$3:I$313)</f>
        <v/>
      </c>
      <c r="K20" s="46">
        <f>IF(H14=0,0,ROUND(J14/(H14*2),3))</f>
        <v/>
      </c>
      <c r="L20" s="25">
        <f>SUMIF(第3节!$A$3:$A$313,A14,第3节!J$3:J$313)</f>
        <v/>
      </c>
      <c r="M20" s="25">
        <f>SUMIF(第3节!$A$3:$A$313,A14,第3节!K$3:K$313)</f>
        <v/>
      </c>
      <c r="N20" s="25">
        <f>SUMIF(第3节!$A$3:$A$313,A14,第3节!L$3:L$313)</f>
        <v/>
      </c>
      <c r="O20" s="46">
        <f>IF(L14=0,0,ROUND(N14/(L14*3),3))</f>
        <v/>
      </c>
      <c r="P20" s="25">
        <f>SUMIF(第3节!$A$3:$A$313,A14,第3节!M$3:M$313)</f>
        <v/>
      </c>
      <c r="Q20" s="25">
        <f>SUMIF(第3节!$A$3:$A$313,A14,第3节!N$3:N$313)</f>
        <v/>
      </c>
      <c r="R20" s="25">
        <f>SUMIF(第3节!$A$3:$A$313,A14,第3节!O$3:O$313)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SUMIF(第3节!$A$3:$A$313,A14,第3节!S$3:S$313)</f>
        <v/>
      </c>
      <c r="Y20" s="25">
        <f>SUMIF(第3节!$A$3:$A$313,A14,第3节!T$3:T$313)</f>
        <v/>
      </c>
      <c r="Z20" s="25">
        <f>X14+Y14</f>
        <v/>
      </c>
      <c r="AA20" s="25">
        <f>SUMIF(第3节!$A$3:$A$313,A14,第3节!V$3:V$313)</f>
        <v/>
      </c>
      <c r="AB20" s="25">
        <f>SUMIF(第3节!$A$3:$A$313,A14,第3节!W$3:W$313)</f>
        <v/>
      </c>
      <c r="AC20" s="25">
        <f>SUMIF(第3节!$A$3:$A$313,A14,第3节!X$3:X$313)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COUNTIF(第3节!$A$3:$A$313,A15)</f>
        <v/>
      </c>
      <c r="C21" s="24">
        <f>SUMIF(第3节!$A$3:$A$313,A15,第3节!$C$3:$C$313)-SUMIF(第3节!$A$3:$A$313,A15,第3节!$B$3:$B$313)</f>
        <v/>
      </c>
      <c r="D21" s="25">
        <f>SUMIF(第3节!$A$3:$A$313,A15,第3节!D$3:D$313)</f>
        <v/>
      </c>
      <c r="E21" s="25">
        <f>SUMIF(第3节!$A$3:$A$313,A15,第3节!E$3:E$313)</f>
        <v/>
      </c>
      <c r="F21" s="25">
        <f>SUMIF(第3节!$A$3:$A$313,A15,第3节!F$3:F$313)</f>
        <v/>
      </c>
      <c r="G21" s="46">
        <f>IF(D15=0,0,ROUND(F15/(D15*2),3))</f>
        <v/>
      </c>
      <c r="H21" s="25">
        <f>SUMIF(第3节!$A$3:$A$313,A15,第3节!G$3:G$313)</f>
        <v/>
      </c>
      <c r="I21" s="25">
        <f>SUMIF(第3节!$A$3:$A$313,A15,第3节!H$3:H$313)</f>
        <v/>
      </c>
      <c r="J21" s="25">
        <f>SUMIF(第3节!$A$3:$A$313,A15,第3节!I$3:I$313)</f>
        <v/>
      </c>
      <c r="K21" s="46">
        <f>IF(H15=0,0,ROUND(J15/(H15*2),3))</f>
        <v/>
      </c>
      <c r="L21" s="25">
        <f>SUMIF(第3节!$A$3:$A$313,A15,第3节!J$3:J$313)</f>
        <v/>
      </c>
      <c r="M21" s="25">
        <f>SUMIF(第3节!$A$3:$A$313,A15,第3节!K$3:K$313)</f>
        <v/>
      </c>
      <c r="N21" s="25">
        <f>SUMIF(第3节!$A$3:$A$313,A15,第3节!L$3:L$313)</f>
        <v/>
      </c>
      <c r="O21" s="46">
        <f>IF(L15=0,0,ROUND(N15/(L15*3),3))</f>
        <v/>
      </c>
      <c r="P21" s="25">
        <f>SUMIF(第3节!$A$3:$A$313,A15,第3节!M$3:M$313)</f>
        <v/>
      </c>
      <c r="Q21" s="25">
        <f>SUMIF(第3节!$A$3:$A$313,A15,第3节!N$3:N$313)</f>
        <v/>
      </c>
      <c r="R21" s="25">
        <f>SUMIF(第3节!$A$3:$A$313,A15,第3节!O$3:O$313)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SUMIF(第3节!$A$3:$A$313,A15,第3节!S$3:S$313)</f>
        <v/>
      </c>
      <c r="Y21" s="25">
        <f>SUMIF(第3节!$A$3:$A$313,A15,第3节!T$3:T$313)</f>
        <v/>
      </c>
      <c r="Z21" s="25">
        <f>X15+Y15</f>
        <v/>
      </c>
      <c r="AA21" s="25">
        <f>SUMIF(第3节!$A$3:$A$313,A15,第3节!V$3:V$313)</f>
        <v/>
      </c>
      <c r="AB21" s="25">
        <f>SUMIF(第3节!$A$3:$A$313,A15,第3节!W$3:W$313)</f>
        <v/>
      </c>
      <c r="AC21" s="25">
        <f>SUMIF(第3节!$A$3:$A$313,A15,第3节!X$3:X$313)</f>
        <v/>
      </c>
      <c r="AD21" s="27" t="n"/>
    </row>
    <row r="22">
      <c r="A22" s="23" t="inlineStr">
        <is>
          <t>许馨墨</t>
        </is>
      </c>
      <c r="B22" s="23">
        <f>COUNTIF(第3节!$A$3:$A$313,A16)</f>
        <v/>
      </c>
      <c r="C22" s="24">
        <f>SUMIF(第3节!$A$3:$A$313,A16,第3节!$C$3:$C$313)-SUMIF(第3节!$A$3:$A$313,A16,第3节!$B$3:$B$313)</f>
        <v/>
      </c>
      <c r="D22" s="25">
        <f>SUMIF(第3节!$A$3:$A$313,A16,第3节!D$3:D$313)</f>
        <v/>
      </c>
      <c r="E22" s="25">
        <f>SUMIF(第3节!$A$3:$A$313,A16,第3节!E$3:E$313)</f>
        <v/>
      </c>
      <c r="F22" s="25">
        <f>SUMIF(第3节!$A$3:$A$313,A16,第3节!F$3:F$313)</f>
        <v/>
      </c>
      <c r="G22" s="46">
        <f>IF(D16=0,0,ROUND(F16/(D16*2),3))</f>
        <v/>
      </c>
      <c r="H22" s="25">
        <f>SUMIF(第3节!$A$3:$A$313,A16,第3节!G$3:G$313)</f>
        <v/>
      </c>
      <c r="I22" s="25">
        <f>SUMIF(第3节!$A$3:$A$313,A16,第3节!H$3:H$313)</f>
        <v/>
      </c>
      <c r="J22" s="25">
        <f>SUMIF(第3节!$A$3:$A$313,A16,第3节!I$3:I$313)</f>
        <v/>
      </c>
      <c r="K22" s="46">
        <f>IF(H16=0,0,ROUND(J16/(H16*2),3))</f>
        <v/>
      </c>
      <c r="L22" s="25">
        <f>SUMIF(第3节!$A$3:$A$313,A16,第3节!J$3:J$313)</f>
        <v/>
      </c>
      <c r="M22" s="25">
        <f>SUMIF(第3节!$A$3:$A$313,A16,第3节!K$3:K$313)</f>
        <v/>
      </c>
      <c r="N22" s="25">
        <f>SUMIF(第3节!$A$3:$A$313,A16,第3节!L$3:L$313)</f>
        <v/>
      </c>
      <c r="O22" s="46">
        <f>IF(L16=0,0,ROUND(N16/(L16*3),3))</f>
        <v/>
      </c>
      <c r="P22" s="25">
        <f>SUMIF(第3节!$A$3:$A$313,A16,第3节!M$3:M$313)</f>
        <v/>
      </c>
      <c r="Q22" s="25">
        <f>SUMIF(第3节!$A$3:$A$313,A16,第3节!N$3:N$313)</f>
        <v/>
      </c>
      <c r="R22" s="25">
        <f>SUMIF(第3节!$A$3:$A$313,A16,第3节!O$3:O$313)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SUMIF(第3节!$A$3:$A$313,A16,第3节!S$3:S$313)</f>
        <v/>
      </c>
      <c r="Y22" s="25">
        <f>SUMIF(第3节!$A$3:$A$313,A16,第3节!T$3:T$313)</f>
        <v/>
      </c>
      <c r="Z22" s="25">
        <f>X16+Y16</f>
        <v/>
      </c>
      <c r="AA22" s="25">
        <f>SUMIF(第3节!$A$3:$A$313,A16,第3节!V$3:V$313)</f>
        <v/>
      </c>
      <c r="AB22" s="25">
        <f>SUMIF(第3节!$A$3:$A$313,A16,第3节!W$3:W$313)</f>
        <v/>
      </c>
      <c r="AC22" s="25">
        <f>SUMIF(第3节!$A$3:$A$313,A16,第3节!X$3:X$313)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COUNTIF(第3节!$A$3:$A$313,A17)</f>
        <v/>
      </c>
      <c r="C23" s="24">
        <f>SUMIF(第3节!$A$3:$A$313,A17,第3节!$C$3:$C$313)-SUMIF(第3节!$A$3:$A$313,A17,第3节!$B$3:$B$313)</f>
        <v/>
      </c>
      <c r="D23" s="25">
        <f>SUMIF(第3节!$A$3:$A$313,A17,第3节!D$3:D$313)</f>
        <v/>
      </c>
      <c r="E23" s="25">
        <f>SUMIF(第3节!$A$3:$A$313,A17,第3节!E$3:E$313)</f>
        <v/>
      </c>
      <c r="F23" s="25">
        <f>SUMIF(第3节!$A$3:$A$313,A17,第3节!F$3:F$313)</f>
        <v/>
      </c>
      <c r="G23" s="46">
        <f>IF(D17=0,0,ROUND(F17/(D17*2),3))</f>
        <v/>
      </c>
      <c r="H23" s="25">
        <f>SUMIF(第3节!$A$3:$A$313,A17,第3节!G$3:G$313)</f>
        <v/>
      </c>
      <c r="I23" s="25">
        <f>SUMIF(第3节!$A$3:$A$313,A17,第3节!H$3:H$313)</f>
        <v/>
      </c>
      <c r="J23" s="25">
        <f>SUMIF(第3节!$A$3:$A$313,A17,第3节!I$3:I$313)</f>
        <v/>
      </c>
      <c r="K23" s="46">
        <f>IF(H17=0,0,ROUND(J17/(H17*2),3))</f>
        <v/>
      </c>
      <c r="L23" s="25">
        <f>SUMIF(第3节!$A$3:$A$313,A17,第3节!J$3:J$313)</f>
        <v/>
      </c>
      <c r="M23" s="25">
        <f>SUMIF(第3节!$A$3:$A$313,A17,第3节!K$3:K$313)</f>
        <v/>
      </c>
      <c r="N23" s="25">
        <f>SUMIF(第3节!$A$3:$A$313,A17,第3节!L$3:L$313)</f>
        <v/>
      </c>
      <c r="O23" s="46">
        <f>IF(L17=0,0,ROUND(N17/(L17*3),3))</f>
        <v/>
      </c>
      <c r="P23" s="25">
        <f>SUMIF(第3节!$A$3:$A$313,A17,第3节!M$3:M$313)</f>
        <v/>
      </c>
      <c r="Q23" s="25">
        <f>SUMIF(第3节!$A$3:$A$313,A17,第3节!N$3:N$313)</f>
        <v/>
      </c>
      <c r="R23" s="25">
        <f>SUMIF(第3节!$A$3:$A$313,A17,第3节!O$3:O$313)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SUMIF(第3节!$A$3:$A$313,A17,第3节!S$3:S$313)</f>
        <v/>
      </c>
      <c r="Y23" s="25">
        <f>SUMIF(第3节!$A$3:$A$313,A17,第3节!T$3:T$313)</f>
        <v/>
      </c>
      <c r="Z23" s="25">
        <f>X17+Y17</f>
        <v/>
      </c>
      <c r="AA23" s="25">
        <f>SUMIF(第3节!$A$3:$A$313,A17,第3节!V$3:V$313)</f>
        <v/>
      </c>
      <c r="AB23" s="25">
        <f>SUMIF(第3节!$A$3:$A$313,A17,第3节!W$3:W$313)</f>
        <v/>
      </c>
      <c r="AC23" s="25">
        <f>SUMIF(第3节!$A$3:$A$313,A17,第3节!X$3:X$313)</f>
        <v/>
      </c>
      <c r="AD23" s="27" t="n"/>
    </row>
    <row r="24">
      <c r="A24" s="23" t="inlineStr">
        <is>
          <t>B队球员8</t>
        </is>
      </c>
      <c r="B24" s="23">
        <f>COUNTIF(第3节!$A$3:$A$313,A17)</f>
        <v/>
      </c>
      <c r="C24" s="24">
        <f>SUMIF(第3节!$A$3:$A$313,A17,第3节!$C$3:$C$313)-SUMIF(第3节!$A$3:$A$313,A17,第3节!$B$3:$B$313)</f>
        <v/>
      </c>
      <c r="D24" s="25">
        <f>SUMIF(第3节!$A$3:$A$313,A17,第3节!D$3:D$313)</f>
        <v/>
      </c>
      <c r="E24" s="25">
        <f>SUMIF(第3节!$A$3:$A$313,A17,第3节!E$3:E$313)</f>
        <v/>
      </c>
      <c r="F24" s="25">
        <f>SUMIF(第3节!$A$3:$A$313,A17,第3节!F$3:F$313)</f>
        <v/>
      </c>
      <c r="G24" s="46">
        <f>IF(D17=0,0,ROUND(F17/(D17*2),3))</f>
        <v/>
      </c>
      <c r="H24" s="25">
        <f>SUMIF(第3节!$A$3:$A$313,A17,第3节!G$3:G$313)</f>
        <v/>
      </c>
      <c r="I24" s="25">
        <f>SUMIF(第3节!$A$3:$A$313,A17,第3节!H$3:H$313)</f>
        <v/>
      </c>
      <c r="J24" s="25">
        <f>SUMIF(第3节!$A$3:$A$313,A17,第3节!I$3:I$313)</f>
        <v/>
      </c>
      <c r="K24" s="46">
        <f>IF(H17=0,0,ROUND(J17/(H17*2),3))</f>
        <v/>
      </c>
      <c r="L24" s="25">
        <f>SUMIF(第3节!$A$3:$A$313,A17,第3节!J$3:J$313)</f>
        <v/>
      </c>
      <c r="M24" s="25">
        <f>SUMIF(第3节!$A$3:$A$313,A17,第3节!K$3:K$313)</f>
        <v/>
      </c>
      <c r="N24" s="25">
        <f>SUMIF(第3节!$A$3:$A$313,A17,第3节!L$3:L$313)</f>
        <v/>
      </c>
      <c r="O24" s="46">
        <f>IF(L17=0,0,ROUND(N17/(L17*3),3))</f>
        <v/>
      </c>
      <c r="P24" s="25">
        <f>SUMIF(第3节!$A$3:$A$313,A17,第3节!M$3:M$313)</f>
        <v/>
      </c>
      <c r="Q24" s="25">
        <f>SUMIF(第3节!$A$3:$A$313,A17,第3节!N$3:N$313)</f>
        <v/>
      </c>
      <c r="R24" s="25">
        <f>SUMIF(第3节!$A$3:$A$313,A17,第3节!O$3:O$313)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SUMIF(第3节!$A$3:$A$313,A17,第3节!S$3:S$313)</f>
        <v/>
      </c>
      <c r="Y24" s="25">
        <f>SUMIF(第3节!$A$3:$A$313,A17,第3节!T$3:T$313)</f>
        <v/>
      </c>
      <c r="Z24" s="25">
        <f>X17+Y17</f>
        <v/>
      </c>
      <c r="AA24" s="25">
        <f>SUMIF(第3节!$A$3:$A$313,A17,第3节!V$3:V$313)</f>
        <v/>
      </c>
      <c r="AB24" s="25">
        <f>SUMIF(第3节!$A$3:$A$313,A17,第3节!W$3:W$313)</f>
        <v/>
      </c>
      <c r="AC24" s="25">
        <f>SUMIF(第3节!$A$3:$A$313,A17,第3节!X$3:X$313)</f>
        <v/>
      </c>
      <c r="AD24" s="27" t="n"/>
    </row>
    <row r="25">
      <c r="A25" s="23" t="inlineStr">
        <is>
          <t>B队球员9</t>
        </is>
      </c>
      <c r="B25" s="23">
        <f>COUNTIF(第3节!$A$3:$A$313,A17)</f>
        <v/>
      </c>
      <c r="C25" s="24">
        <f>SUMIF(第3节!$A$3:$A$313,A17,第3节!$C$3:$C$313)-SUMIF(第3节!$A$3:$A$313,A17,第3节!$B$3:$B$313)</f>
        <v/>
      </c>
      <c r="D25" s="25">
        <f>SUMIF(第3节!$A$3:$A$313,A17,第3节!D$3:D$313)</f>
        <v/>
      </c>
      <c r="E25" s="25">
        <f>SUMIF(第3节!$A$3:$A$313,A17,第3节!E$3:E$313)</f>
        <v/>
      </c>
      <c r="F25" s="25">
        <f>SUMIF(第3节!$A$3:$A$313,A17,第3节!F$3:F$313)</f>
        <v/>
      </c>
      <c r="G25" s="46">
        <f>IF(D17=0,0,ROUND(F17/(D17*2),3))</f>
        <v/>
      </c>
      <c r="H25" s="25">
        <f>SUMIF(第3节!$A$3:$A$313,A17,第3节!G$3:G$313)</f>
        <v/>
      </c>
      <c r="I25" s="25">
        <f>SUMIF(第3节!$A$3:$A$313,A17,第3节!H$3:H$313)</f>
        <v/>
      </c>
      <c r="J25" s="25">
        <f>SUMIF(第3节!$A$3:$A$313,A17,第3节!I$3:I$313)</f>
        <v/>
      </c>
      <c r="K25" s="46">
        <f>IF(H17=0,0,ROUND(J17/(H17*2),3))</f>
        <v/>
      </c>
      <c r="L25" s="25">
        <f>SUMIF(第3节!$A$3:$A$313,A17,第3节!J$3:J$313)</f>
        <v/>
      </c>
      <c r="M25" s="25">
        <f>SUMIF(第3节!$A$3:$A$313,A17,第3节!K$3:K$313)</f>
        <v/>
      </c>
      <c r="N25" s="25">
        <f>SUMIF(第3节!$A$3:$A$313,A17,第3节!L$3:L$313)</f>
        <v/>
      </c>
      <c r="O25" s="46">
        <f>IF(L17=0,0,ROUND(N17/(L17*3),3))</f>
        <v/>
      </c>
      <c r="P25" s="25">
        <f>SUMIF(第3节!$A$3:$A$313,A17,第3节!M$3:M$313)</f>
        <v/>
      </c>
      <c r="Q25" s="25">
        <f>SUMIF(第3节!$A$3:$A$313,A17,第3节!N$3:N$313)</f>
        <v/>
      </c>
      <c r="R25" s="25">
        <f>SUMIF(第3节!$A$3:$A$313,A17,第3节!O$3:O$313)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SUMIF(第3节!$A$3:$A$313,A17,第3节!S$3:S$313)</f>
        <v/>
      </c>
      <c r="Y25" s="25">
        <f>SUMIF(第3节!$A$3:$A$313,A17,第3节!T$3:T$313)</f>
        <v/>
      </c>
      <c r="Z25" s="25">
        <f>X17+Y17</f>
        <v/>
      </c>
      <c r="AA25" s="25">
        <f>SUMIF(第3节!$A$3:$A$313,A17,第3节!V$3:V$313)</f>
        <v/>
      </c>
      <c r="AB25" s="25">
        <f>SUMIF(第3节!$A$3:$A$313,A17,第3节!W$3:W$313)</f>
        <v/>
      </c>
      <c r="AC25" s="25">
        <f>SUMIF(第3节!$A$3:$A$313,A17,第3节!X$3:X$313)</f>
        <v/>
      </c>
      <c r="AD25" s="27" t="n"/>
    </row>
    <row r="26">
      <c r="A26" s="23" t="inlineStr">
        <is>
          <t>B队球员10</t>
        </is>
      </c>
      <c r="B26" s="23">
        <f>COUNTIF(第3节!$A$3:$A$313,A17)</f>
        <v/>
      </c>
      <c r="C26" s="24">
        <f>SUMIF(第3节!$A$3:$A$313,A17,第3节!$C$3:$C$313)-SUMIF(第3节!$A$3:$A$313,A17,第3节!$B$3:$B$313)</f>
        <v/>
      </c>
      <c r="D26" s="25">
        <f>SUMIF(第3节!$A$3:$A$313,A17,第3节!D$3:D$313)</f>
        <v/>
      </c>
      <c r="E26" s="25">
        <f>SUMIF(第3节!$A$3:$A$313,A17,第3节!E$3:E$313)</f>
        <v/>
      </c>
      <c r="F26" s="25">
        <f>SUMIF(第3节!$A$3:$A$313,A17,第3节!F$3:F$313)</f>
        <v/>
      </c>
      <c r="G26" s="46">
        <f>IF(D17=0,0,ROUND(F17/(D17*2),3))</f>
        <v/>
      </c>
      <c r="H26" s="25">
        <f>SUMIF(第3节!$A$3:$A$313,A17,第3节!G$3:G$313)</f>
        <v/>
      </c>
      <c r="I26" s="25">
        <f>SUMIF(第3节!$A$3:$A$313,A17,第3节!H$3:H$313)</f>
        <v/>
      </c>
      <c r="J26" s="25">
        <f>SUMIF(第3节!$A$3:$A$313,A17,第3节!I$3:I$313)</f>
        <v/>
      </c>
      <c r="K26" s="46">
        <f>IF(H17=0,0,ROUND(J17/(H17*2),3))</f>
        <v/>
      </c>
      <c r="L26" s="25">
        <f>SUMIF(第3节!$A$3:$A$313,A17,第3节!J$3:J$313)</f>
        <v/>
      </c>
      <c r="M26" s="25">
        <f>SUMIF(第3节!$A$3:$A$313,A17,第3节!K$3:K$313)</f>
        <v/>
      </c>
      <c r="N26" s="25">
        <f>SUMIF(第3节!$A$3:$A$313,A17,第3节!L$3:L$313)</f>
        <v/>
      </c>
      <c r="O26" s="46">
        <f>IF(L17=0,0,ROUND(N17/(L17*3),3))</f>
        <v/>
      </c>
      <c r="P26" s="25">
        <f>SUMIF(第3节!$A$3:$A$313,A17,第3节!M$3:M$313)</f>
        <v/>
      </c>
      <c r="Q26" s="25">
        <f>SUMIF(第3节!$A$3:$A$313,A17,第3节!N$3:N$313)</f>
        <v/>
      </c>
      <c r="R26" s="25">
        <f>SUMIF(第3节!$A$3:$A$313,A17,第3节!O$3:O$313)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SUMIF(第3节!$A$3:$A$313,A17,第3节!S$3:S$313)</f>
        <v/>
      </c>
      <c r="Y26" s="25">
        <f>SUMIF(第3节!$A$3:$A$313,A17,第3节!T$3:T$313)</f>
        <v/>
      </c>
      <c r="Z26" s="25">
        <f>X17+Y17</f>
        <v/>
      </c>
      <c r="AA26" s="25">
        <f>SUMIF(第3节!$A$3:$A$313,A17,第3节!V$3:V$313)</f>
        <v/>
      </c>
      <c r="AB26" s="25">
        <f>SUMIF(第3节!$A$3:$A$313,A17,第3节!W$3:W$313)</f>
        <v/>
      </c>
      <c r="AC26" s="25">
        <f>SUMIF(第3节!$A$3:$A$313,A17,第3节!X$3:X$313)</f>
        <v/>
      </c>
      <c r="AD26" s="27" t="n"/>
    </row>
    <row r="27">
      <c r="A27" s="23" t="inlineStr">
        <is>
          <t>B队球员11</t>
        </is>
      </c>
      <c r="B27" s="23">
        <f>COUNTIF(第3节!$A$3:$A$313,A17)</f>
        <v/>
      </c>
      <c r="C27" s="24">
        <f>SUMIF(第3节!$A$3:$A$313,A17,第3节!$C$3:$C$313)-SUMIF(第3节!$A$3:$A$313,A17,第3节!$B$3:$B$313)</f>
        <v/>
      </c>
      <c r="D27" s="25">
        <f>SUMIF(第3节!$A$3:$A$313,A17,第3节!D$3:D$313)</f>
        <v/>
      </c>
      <c r="E27" s="25">
        <f>SUMIF(第3节!$A$3:$A$313,A17,第3节!E$3:E$313)</f>
        <v/>
      </c>
      <c r="F27" s="25">
        <f>SUMIF(第3节!$A$3:$A$313,A17,第3节!F$3:F$313)</f>
        <v/>
      </c>
      <c r="G27" s="46">
        <f>IF(D17=0,0,ROUND(F17/(D17*2),3))</f>
        <v/>
      </c>
      <c r="H27" s="25">
        <f>SUMIF(第3节!$A$3:$A$313,A17,第3节!G$3:G$313)</f>
        <v/>
      </c>
      <c r="I27" s="25">
        <f>SUMIF(第3节!$A$3:$A$313,A17,第3节!H$3:H$313)</f>
        <v/>
      </c>
      <c r="J27" s="25">
        <f>SUMIF(第3节!$A$3:$A$313,A17,第3节!I$3:I$313)</f>
        <v/>
      </c>
      <c r="K27" s="46">
        <f>IF(H17=0,0,ROUND(J17/(H17*2),3))</f>
        <v/>
      </c>
      <c r="L27" s="25">
        <f>SUMIF(第3节!$A$3:$A$313,A17,第3节!J$3:J$313)</f>
        <v/>
      </c>
      <c r="M27" s="25">
        <f>SUMIF(第3节!$A$3:$A$313,A17,第3节!K$3:K$313)</f>
        <v/>
      </c>
      <c r="N27" s="25">
        <f>SUMIF(第3节!$A$3:$A$313,A17,第3节!L$3:L$313)</f>
        <v/>
      </c>
      <c r="O27" s="46">
        <f>IF(L17=0,0,ROUND(N17/(L17*3),3))</f>
        <v/>
      </c>
      <c r="P27" s="25">
        <f>SUMIF(第3节!$A$3:$A$313,A17,第3节!M$3:M$313)</f>
        <v/>
      </c>
      <c r="Q27" s="25">
        <f>SUMIF(第3节!$A$3:$A$313,A17,第3节!N$3:N$313)</f>
        <v/>
      </c>
      <c r="R27" s="25">
        <f>SUMIF(第3节!$A$3:$A$313,A17,第3节!O$3:O$313)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SUMIF(第3节!$A$3:$A$313,A17,第3节!S$3:S$313)</f>
        <v/>
      </c>
      <c r="Y27" s="25">
        <f>SUMIF(第3节!$A$3:$A$313,A17,第3节!T$3:T$313)</f>
        <v/>
      </c>
      <c r="Z27" s="25">
        <f>X17+Y17</f>
        <v/>
      </c>
      <c r="AA27" s="25">
        <f>SUMIF(第3节!$A$3:$A$313,A17,第3节!V$3:V$313)</f>
        <v/>
      </c>
      <c r="AB27" s="25">
        <f>SUMIF(第3节!$A$3:$A$313,A17,第3节!W$3:W$313)</f>
        <v/>
      </c>
      <c r="AC27" s="25">
        <f>SUMIF(第3节!$A$3:$A$313,A17,第3节!X$3:X$313)</f>
        <v/>
      </c>
      <c r="AD27" s="27" t="n"/>
    </row>
    <row r="28">
      <c r="A28" s="23" t="inlineStr">
        <is>
          <t>B队球员12</t>
        </is>
      </c>
      <c r="B28" s="23">
        <f>COUNTIF(第3节!$A$3:$A$313,A17)</f>
        <v/>
      </c>
      <c r="C28" s="24">
        <f>SUMIF(第3节!$A$3:$A$313,A17,第3节!$C$3:$C$313)-SUMIF(第3节!$A$3:$A$313,A17,第3节!$B$3:$B$313)</f>
        <v/>
      </c>
      <c r="D28" s="25">
        <f>SUMIF(第3节!$A$3:$A$313,A17,第3节!D$3:D$313)</f>
        <v/>
      </c>
      <c r="E28" s="25">
        <f>SUMIF(第3节!$A$3:$A$313,A17,第3节!E$3:E$313)</f>
        <v/>
      </c>
      <c r="F28" s="25">
        <f>SUMIF(第3节!$A$3:$A$313,A17,第3节!F$3:F$313)</f>
        <v/>
      </c>
      <c r="G28" s="46">
        <f>IF(D17=0,0,ROUND(F17/(D17*2),3))</f>
        <v/>
      </c>
      <c r="H28" s="25">
        <f>SUMIF(第3节!$A$3:$A$313,A17,第3节!G$3:G$313)</f>
        <v/>
      </c>
      <c r="I28" s="25">
        <f>SUMIF(第3节!$A$3:$A$313,A17,第3节!H$3:H$313)</f>
        <v/>
      </c>
      <c r="J28" s="25">
        <f>SUMIF(第3节!$A$3:$A$313,A17,第3节!I$3:I$313)</f>
        <v/>
      </c>
      <c r="K28" s="46">
        <f>IF(H17=0,0,ROUND(J17/(H17*2),3))</f>
        <v/>
      </c>
      <c r="L28" s="25">
        <f>SUMIF(第3节!$A$3:$A$313,A17,第3节!J$3:J$313)</f>
        <v/>
      </c>
      <c r="M28" s="25">
        <f>SUMIF(第3节!$A$3:$A$313,A17,第3节!K$3:K$313)</f>
        <v/>
      </c>
      <c r="N28" s="25">
        <f>SUMIF(第3节!$A$3:$A$313,A17,第3节!L$3:L$313)</f>
        <v/>
      </c>
      <c r="O28" s="46">
        <f>IF(L17=0,0,ROUND(N17/(L17*3),3))</f>
        <v/>
      </c>
      <c r="P28" s="25">
        <f>SUMIF(第3节!$A$3:$A$313,A17,第3节!M$3:M$313)</f>
        <v/>
      </c>
      <c r="Q28" s="25">
        <f>SUMIF(第3节!$A$3:$A$313,A17,第3节!N$3:N$313)</f>
        <v/>
      </c>
      <c r="R28" s="25">
        <f>SUMIF(第3节!$A$3:$A$313,A17,第3节!O$3:O$313)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SUMIF(第3节!$A$3:$A$313,A17,第3节!S$3:S$313)</f>
        <v/>
      </c>
      <c r="Y28" s="25">
        <f>SUMIF(第3节!$A$3:$A$313,A17,第3节!T$3:T$313)</f>
        <v/>
      </c>
      <c r="Z28" s="25">
        <f>X17+Y17</f>
        <v/>
      </c>
      <c r="AA28" s="25">
        <f>SUMIF(第3节!$A$3:$A$313,A17,第3节!V$3:V$313)</f>
        <v/>
      </c>
      <c r="AB28" s="25">
        <f>SUMIF(第3节!$A$3:$A$313,A17,第3节!W$3:W$313)</f>
        <v/>
      </c>
      <c r="AC28" s="25">
        <f>SUMIF(第3节!$A$3:$A$313,A17,第3节!X$3:X$313)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SUMPRODUCT(COUNTIF($A$4:$A$9,第4节!$A$3:$A$313))</f>
        <v/>
      </c>
      <c r="C3" s="10">
        <f>SUMPRODUCT(COUNTIF($A$4:$A$9,第4节!$A$3:$A$313),第4节!$C$3:$C$313)-SUMPRODUCT(COUNTIF($A$4:$A$9,第4节!$A$3:$A$313),第4节!$B$3:$B$313)</f>
        <v/>
      </c>
      <c r="D3" s="11">
        <f>SUMPRODUCT(COUNTIF($A$4:$A$9,第4节!$A$3:$A$313),第4节!D$3:D$313)</f>
        <v/>
      </c>
      <c r="E3" s="11">
        <f>SUMPRODUCT(COUNTIF($A$4:$A$9,第4节!$A$3:$A$313),第4节!E$3:E$313)</f>
        <v/>
      </c>
      <c r="F3" s="11">
        <f>SUMPRODUCT(COUNTIF($A$4:$A$9,第4节!$A$3:$A$313),第4节!F$3:F$313)</f>
        <v/>
      </c>
      <c r="G3" s="43">
        <f>IF(D3=0,0,ROUND(F3/(D3*2),3))</f>
        <v/>
      </c>
      <c r="H3" s="11">
        <f>SUMPRODUCT(COUNTIF($A$4:$A$9,第4节!$A$3:$A$313),第4节!G$3:G$313)</f>
        <v/>
      </c>
      <c r="I3" s="11">
        <f>SUMPRODUCT(COUNTIF($A$4:$A$9,第4节!$A$3:$A$313),第4节!H$3:H$313)</f>
        <v/>
      </c>
      <c r="J3" s="11">
        <f>SUMPRODUCT(COUNTIF($A$4:$A$9,第4节!$A$3:$A$313),第4节!I$3:I$313)</f>
        <v/>
      </c>
      <c r="K3" s="43">
        <f>IF(H3=0,0,ROUND(J3/(H3*2),3))</f>
        <v/>
      </c>
      <c r="L3" s="11">
        <f>SUMPRODUCT(COUNTIF($A$4:$A$9,第4节!$A$3:$A$313),第4节!J$3:J$313)</f>
        <v/>
      </c>
      <c r="M3" s="11">
        <f>SUMPRODUCT(COUNTIF($A$4:$A$9,第4节!$A$3:$A$313),第4节!K$3:K$313)</f>
        <v/>
      </c>
      <c r="N3" s="11">
        <f>SUMPRODUCT(COUNTIF($A$4:$A$9,第4节!$A$3:$A$313),第4节!L$3:L$313)</f>
        <v/>
      </c>
      <c r="O3" s="43">
        <f>IF(L3=0,0,ROUND(N3/(L3*3),3))</f>
        <v/>
      </c>
      <c r="P3" s="11">
        <f>SUMPRODUCT(COUNTIF($A$4:$A$9,第4节!$A$3:$A$313),第4节!M$3:M$313)</f>
        <v/>
      </c>
      <c r="Q3" s="11">
        <f>SUMPRODUCT(COUNTIF($A$4:$A$9,第4节!$A$3:$A$313),第4节!N$3:N$313)</f>
        <v/>
      </c>
      <c r="R3" s="11">
        <f>SUMPRODUCT(COUNTIF($A$4:$A$9,第4节!$A$3:$A$313),第4节!O$3:O$313)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SUMPRODUCT(COUNTIF($A$4:$A$9,第4节!$A$3:$A$313),第4节!S$3:S$313)</f>
        <v/>
      </c>
      <c r="Y3" s="11">
        <f>SUMPRODUCT(COUNTIF($A$4:$A$9,第4节!$A$3:$A$313),第4节!T$3:T$313)</f>
        <v/>
      </c>
      <c r="Z3" s="11">
        <f>X3+Y3</f>
        <v/>
      </c>
      <c r="AA3" s="11">
        <f>SUMPRODUCT(COUNTIF($A$4:$A$9,第4节!$A$3:$A$313),第4节!V$3:V$313)</f>
        <v/>
      </c>
      <c r="AB3" s="11">
        <f>SUMPRODUCT(COUNTIF($A$4:$A$9,第4节!$A$3:$A$313),第4节!W$3:W$313)</f>
        <v/>
      </c>
      <c r="AC3" s="11">
        <f>SUMPRODUCT(COUNTIF($A$4:$A$9,第4节!$A$3:$A$313),第4节!X$3:X$313)</f>
        <v/>
      </c>
      <c r="AD3" s="13" t="n"/>
    </row>
    <row r="4" ht="22.5" customHeight="1">
      <c r="A4" s="14" t="inlineStr">
        <is>
          <t>陈赞安</t>
        </is>
      </c>
      <c r="B4" s="14">
        <f>COUNTIF(第4节!$A$3:$A$313,A4)</f>
        <v/>
      </c>
      <c r="C4" s="15">
        <f>SUMIF(第4节!$A$3:$A$313,A4,第4节!$C$3:$C$313)-SUMIF(第4节!$A$3:$A$313,A4,第4节!$B$3:$B$313)</f>
        <v/>
      </c>
      <c r="D4" s="16">
        <f>SUMIF(第4节!$A$3:$A$313,A4,第4节!D$3:D$313)</f>
        <v/>
      </c>
      <c r="E4" s="16">
        <f>SUMIF(第4节!$A$3:$A$313,A4,第4节!E$3:E$313)</f>
        <v/>
      </c>
      <c r="F4" s="16">
        <f>SUMIF(第4节!$A$3:$A$313,A4,第4节!F$3:F$313)</f>
        <v/>
      </c>
      <c r="G4" s="44">
        <f>IF(D4=0,0,ROUND(F4/(D4*2),3))</f>
        <v/>
      </c>
      <c r="H4" s="16">
        <f>SUMIF(第4节!$A$3:$A$313,A4,第4节!G$3:G$313)</f>
        <v/>
      </c>
      <c r="I4" s="16">
        <f>SUMIF(第4节!$A$3:$A$313,A4,第4节!H$3:H$313)</f>
        <v/>
      </c>
      <c r="J4" s="16">
        <f>SUMIF(第4节!$A$3:$A$313,A4,第4节!I$3:I$313)</f>
        <v/>
      </c>
      <c r="K4" s="44">
        <f>IF(H4=0,0,ROUND(J4/(H4*2),3))</f>
        <v/>
      </c>
      <c r="L4" s="16">
        <f>SUMIF(第4节!$A$3:$A$313,A4,第4节!J$3:J$313)</f>
        <v/>
      </c>
      <c r="M4" s="16">
        <f>SUMIF(第4节!$A$3:$A$313,A4,第4节!K$3:K$313)</f>
        <v/>
      </c>
      <c r="N4" s="16">
        <f>SUMIF(第4节!$A$3:$A$313,A4,第4节!L$3:L$313)</f>
        <v/>
      </c>
      <c r="O4" s="44">
        <f>IF(L4=0,0,ROUND(N4/(L4*3),3))</f>
        <v/>
      </c>
      <c r="P4" s="16">
        <f>SUMIF(第4节!$A$3:$A$313,A4,第4节!M$3:M$313)</f>
        <v/>
      </c>
      <c r="Q4" s="16">
        <f>SUMIF(第4节!$A$3:$A$313,A4,第4节!N$3:N$313)</f>
        <v/>
      </c>
      <c r="R4" s="16">
        <f>SUMIF(第4节!$A$3:$A$313,A4,第4节!O$3:O$313)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SUMIF(第4节!$A$3:$A$313,A4,第4节!S$3:S$313)</f>
        <v/>
      </c>
      <c r="Y4" s="16">
        <f>SUMIF(第4节!$A$3:$A$313,A4,第4节!T$3:T$313)</f>
        <v/>
      </c>
      <c r="Z4" s="16">
        <f>X4+Y4</f>
        <v/>
      </c>
      <c r="AA4" s="16">
        <f>SUMIF(第4节!$A$3:$A$313,A4,第4节!V$3:V$313)</f>
        <v/>
      </c>
      <c r="AB4" s="16">
        <f>SUMIF(第4节!$A$3:$A$313,A4,第4节!W$3:W$313)</f>
        <v/>
      </c>
      <c r="AC4" s="16">
        <f>SUMIF(第4节!$A$3:$A$313,A4,第4节!X$3:X$313)</f>
        <v/>
      </c>
      <c r="AD4" s="18" t="n"/>
    </row>
    <row r="5" ht="22.5" customHeight="1">
      <c r="A5" s="14" t="inlineStr">
        <is>
          <t>张绪然</t>
        </is>
      </c>
      <c r="B5" s="14">
        <f>COUNTIF(第4节!$A$3:$A$313,A5)</f>
        <v/>
      </c>
      <c r="C5" s="15">
        <f>SUMIF(第4节!$A$3:$A$313,A5,第4节!$C$3:$C$313)-SUMIF(第4节!$A$3:$A$313,A5,第4节!$B$3:$B$313)</f>
        <v/>
      </c>
      <c r="D5" s="16">
        <f>SUMIF(第4节!$A$3:$A$313,A5,第4节!D$3:D$313)</f>
        <v/>
      </c>
      <c r="E5" s="16">
        <f>SUMIF(第4节!$A$3:$A$313,A5,第4节!E$3:E$313)</f>
        <v/>
      </c>
      <c r="F5" s="16">
        <f>SUMIF(第4节!$A$3:$A$313,A5,第4节!F$3:F$313)</f>
        <v/>
      </c>
      <c r="G5" s="44">
        <f>IF(D5=0,0,ROUND(F5/(D5*2),3))</f>
        <v/>
      </c>
      <c r="H5" s="16">
        <f>SUMIF(第4节!$A$3:$A$313,A5,第4节!G$3:G$313)</f>
        <v/>
      </c>
      <c r="I5" s="16">
        <f>SUMIF(第4节!$A$3:$A$313,A5,第4节!H$3:H$313)</f>
        <v/>
      </c>
      <c r="J5" s="16">
        <f>SUMIF(第4节!$A$3:$A$313,A5,第4节!I$3:I$313)</f>
        <v/>
      </c>
      <c r="K5" s="44">
        <f>IF(H5=0,0,ROUND(J5/(H5*2),3))</f>
        <v/>
      </c>
      <c r="L5" s="16">
        <f>SUMIF(第4节!$A$3:$A$313,A5,第4节!J$3:J$313)</f>
        <v/>
      </c>
      <c r="M5" s="16">
        <f>SUMIF(第4节!$A$3:$A$313,A5,第4节!K$3:K$313)</f>
        <v/>
      </c>
      <c r="N5" s="16">
        <f>SUMIF(第4节!$A$3:$A$313,A5,第4节!L$3:L$313)</f>
        <v/>
      </c>
      <c r="O5" s="44">
        <f>IF(L5=0,0,ROUND(N5/(L5*3),3))</f>
        <v/>
      </c>
      <c r="P5" s="16">
        <f>SUMIF(第4节!$A$3:$A$313,A5,第4节!M$3:M$313)</f>
        <v/>
      </c>
      <c r="Q5" s="16">
        <f>SUMIF(第4节!$A$3:$A$313,A5,第4节!N$3:N$313)</f>
        <v/>
      </c>
      <c r="R5" s="16">
        <f>SUMIF(第4节!$A$3:$A$313,A5,第4节!O$3:O$313)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SUMIF(第4节!$A$3:$A$313,A5,第4节!S$3:S$313)</f>
        <v/>
      </c>
      <c r="Y5" s="16">
        <f>SUMIF(第4节!$A$3:$A$313,A5,第4节!T$3:T$313)</f>
        <v/>
      </c>
      <c r="Z5" s="16">
        <f>X5+Y5</f>
        <v/>
      </c>
      <c r="AA5" s="16">
        <f>SUMIF(第4节!$A$3:$A$313,A5,第4节!V$3:V$313)</f>
        <v/>
      </c>
      <c r="AB5" s="16">
        <f>SUMIF(第4节!$A$3:$A$313,A5,第4节!W$3:W$313)</f>
        <v/>
      </c>
      <c r="AC5" s="16">
        <f>SUMIF(第4节!$A$3:$A$313,A5,第4节!X$3:X$313)</f>
        <v/>
      </c>
      <c r="AD5" s="18" t="n"/>
    </row>
    <row r="6" ht="22.5" customHeight="1">
      <c r="A6" s="14" t="inlineStr">
        <is>
          <t>雷奕梵</t>
        </is>
      </c>
      <c r="B6" s="14">
        <f>COUNTIF(第4节!$A$3:$A$313,A6)</f>
        <v/>
      </c>
      <c r="C6" s="15">
        <f>SUMIF(第4节!$A$3:$A$313,A6,第4节!$C$3:$C$313)-SUMIF(第4节!$A$3:$A$313,A6,第4节!$B$3:$B$313)</f>
        <v/>
      </c>
      <c r="D6" s="16">
        <f>SUMIF(第4节!$A$3:$A$313,A6,第4节!D$3:D$313)</f>
        <v/>
      </c>
      <c r="E6" s="16">
        <f>SUMIF(第4节!$A$3:$A$313,A6,第4节!E$3:E$313)</f>
        <v/>
      </c>
      <c r="F6" s="16">
        <f>SUMIF(第4节!$A$3:$A$313,A6,第4节!F$3:F$313)</f>
        <v/>
      </c>
      <c r="G6" s="44">
        <f>IF(D6=0,0,ROUND(F6/(D6*2),3))</f>
        <v/>
      </c>
      <c r="H6" s="16">
        <f>SUMIF(第4节!$A$3:$A$313,A6,第4节!G$3:G$313)</f>
        <v/>
      </c>
      <c r="I6" s="16">
        <f>SUMIF(第4节!$A$3:$A$313,A6,第4节!H$3:H$313)</f>
        <v/>
      </c>
      <c r="J6" s="16">
        <f>SUMIF(第4节!$A$3:$A$313,A6,第4节!I$3:I$313)</f>
        <v/>
      </c>
      <c r="K6" s="44">
        <f>IF(H6=0,0,ROUND(J6/(H6*2),3))</f>
        <v/>
      </c>
      <c r="L6" s="16">
        <f>SUMIF(第4节!$A$3:$A$313,A6,第4节!J$3:J$313)</f>
        <v/>
      </c>
      <c r="M6" s="16">
        <f>SUMIF(第4节!$A$3:$A$313,A6,第4节!K$3:K$313)</f>
        <v/>
      </c>
      <c r="N6" s="16">
        <f>SUMIF(第4节!$A$3:$A$313,A6,第4节!L$3:L$313)</f>
        <v/>
      </c>
      <c r="O6" s="44">
        <f>IF(L6=0,0,ROUND(N6/(L6*3),3))</f>
        <v/>
      </c>
      <c r="P6" s="16">
        <f>SUMIF(第4节!$A$3:$A$313,A6,第4节!M$3:M$313)</f>
        <v/>
      </c>
      <c r="Q6" s="16">
        <f>SUMIF(第4节!$A$3:$A$313,A6,第4节!N$3:N$313)</f>
        <v/>
      </c>
      <c r="R6" s="16">
        <f>SUMIF(第4节!$A$3:$A$313,A6,第4节!O$3:O$313)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SUMIF(第4节!$A$3:$A$313,A6,第4节!S$3:S$313)</f>
        <v/>
      </c>
      <c r="Y6" s="16">
        <f>SUMIF(第4节!$A$3:$A$313,A6,第4节!T$3:T$313)</f>
        <v/>
      </c>
      <c r="Z6" s="16">
        <f>X6+Y6</f>
        <v/>
      </c>
      <c r="AA6" s="16">
        <f>SUMIF(第4节!$A$3:$A$313,A6,第4节!V$3:V$313)</f>
        <v/>
      </c>
      <c r="AB6" s="16">
        <f>SUMIF(第4节!$A$3:$A$313,A6,第4节!W$3:W$313)</f>
        <v/>
      </c>
      <c r="AC6" s="16">
        <f>SUMIF(第4节!$A$3:$A$313,A6,第4节!X$3:X$313)</f>
        <v/>
      </c>
      <c r="AD6" s="18" t="n"/>
    </row>
    <row r="7" ht="22.5" customHeight="1">
      <c r="A7" s="14" t="inlineStr">
        <is>
          <t>洪浩哲</t>
        </is>
      </c>
      <c r="B7" s="14">
        <f>COUNTIF(第4节!$A$3:$A$313,A7)</f>
        <v/>
      </c>
      <c r="C7" s="15">
        <f>SUMIF(第4节!$A$3:$A$313,A7,第4节!$C$3:$C$313)-SUMIF(第4节!$A$3:$A$313,A7,第4节!$B$3:$B$313)</f>
        <v/>
      </c>
      <c r="D7" s="16">
        <f>SUMIF(第4节!$A$3:$A$313,A7,第4节!D$3:D$313)</f>
        <v/>
      </c>
      <c r="E7" s="16">
        <f>SUMIF(第4节!$A$3:$A$313,A7,第4节!E$3:E$313)</f>
        <v/>
      </c>
      <c r="F7" s="16">
        <f>SUMIF(第4节!$A$3:$A$313,A7,第4节!F$3:F$313)</f>
        <v/>
      </c>
      <c r="G7" s="44">
        <f>IF(D7=0,0,ROUND(F7/(D7*2),3))</f>
        <v/>
      </c>
      <c r="H7" s="16">
        <f>SUMIF(第4节!$A$3:$A$313,A7,第4节!G$3:G$313)</f>
        <v/>
      </c>
      <c r="I7" s="16">
        <f>SUMIF(第4节!$A$3:$A$313,A7,第4节!H$3:H$313)</f>
        <v/>
      </c>
      <c r="J7" s="16">
        <f>SUMIF(第4节!$A$3:$A$313,A7,第4节!I$3:I$313)</f>
        <v/>
      </c>
      <c r="K7" s="44">
        <f>IF(H7=0,0,ROUND(J7/(H7*2),3))</f>
        <v/>
      </c>
      <c r="L7" s="16">
        <f>SUMIF(第4节!$A$3:$A$313,A7,第4节!J$3:J$313)</f>
        <v/>
      </c>
      <c r="M7" s="16">
        <f>SUMIF(第4节!$A$3:$A$313,A7,第4节!K$3:K$313)</f>
        <v/>
      </c>
      <c r="N7" s="16">
        <f>SUMIF(第4节!$A$3:$A$313,A7,第4节!L$3:L$313)</f>
        <v/>
      </c>
      <c r="O7" s="44">
        <f>IF(L7=0,0,ROUND(N7/(L7*3),3))</f>
        <v/>
      </c>
      <c r="P7" s="16">
        <f>SUMIF(第4节!$A$3:$A$313,A7,第4节!M$3:M$313)</f>
        <v/>
      </c>
      <c r="Q7" s="16">
        <f>SUMIF(第4节!$A$3:$A$313,A7,第4节!N$3:N$313)</f>
        <v/>
      </c>
      <c r="R7" s="16">
        <f>SUMIF(第4节!$A$3:$A$313,A7,第4节!O$3:O$313)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SUMIF(第4节!$A$3:$A$313,A7,第4节!S$3:S$313)</f>
        <v/>
      </c>
      <c r="Y7" s="16">
        <f>SUMIF(第4节!$A$3:$A$313,A7,第4节!T$3:T$313)</f>
        <v/>
      </c>
      <c r="Z7" s="16">
        <f>X7+Y7</f>
        <v/>
      </c>
      <c r="AA7" s="16">
        <f>SUMIF(第4节!$A$3:$A$313,A7,第4节!V$3:V$313)</f>
        <v/>
      </c>
      <c r="AB7" s="16">
        <f>SUMIF(第4节!$A$3:$A$313,A7,第4节!W$3:W$313)</f>
        <v/>
      </c>
      <c r="AC7" s="16">
        <f>SUMIF(第4节!$A$3:$A$313,A7,第4节!X$3:X$313)</f>
        <v/>
      </c>
      <c r="AD7" s="18" t="n"/>
    </row>
    <row r="8" ht="22.5" customHeight="1">
      <c r="A8" s="14" t="inlineStr">
        <is>
          <t>刘炎昊</t>
        </is>
      </c>
      <c r="B8" s="14">
        <f>COUNTIF(第4节!$A$3:$A$313,A8)</f>
        <v/>
      </c>
      <c r="C8" s="15">
        <f>SUMIF(第4节!$A$3:$A$313,A8,第4节!$C$3:$C$313)-SUMIF(第4节!$A$3:$A$313,A8,第4节!$B$3:$B$313)</f>
        <v/>
      </c>
      <c r="D8" s="16">
        <f>SUMIF(第4节!$A$3:$A$313,A8,第4节!D$3:D$313)</f>
        <v/>
      </c>
      <c r="E8" s="16">
        <f>SUMIF(第4节!$A$3:$A$313,A8,第4节!E$3:E$313)</f>
        <v/>
      </c>
      <c r="F8" s="16">
        <f>SUMIF(第4节!$A$3:$A$313,A8,第4节!F$3:F$313)</f>
        <v/>
      </c>
      <c r="G8" s="44">
        <f>IF(D8=0,0,ROUND(F8/(D8*2),3))</f>
        <v/>
      </c>
      <c r="H8" s="16">
        <f>SUMIF(第4节!$A$3:$A$313,A8,第4节!G$3:G$313)</f>
        <v/>
      </c>
      <c r="I8" s="16">
        <f>SUMIF(第4节!$A$3:$A$313,A8,第4节!H$3:H$313)</f>
        <v/>
      </c>
      <c r="J8" s="16">
        <f>SUMIF(第4节!$A$3:$A$313,A8,第4节!I$3:I$313)</f>
        <v/>
      </c>
      <c r="K8" s="44">
        <f>IF(H8=0,0,ROUND(J8/(H8*2),3))</f>
        <v/>
      </c>
      <c r="L8" s="16">
        <f>SUMIF(第4节!$A$3:$A$313,A8,第4节!J$3:J$313)</f>
        <v/>
      </c>
      <c r="M8" s="16">
        <f>SUMIF(第4节!$A$3:$A$313,A8,第4节!K$3:K$313)</f>
        <v/>
      </c>
      <c r="N8" s="16">
        <f>SUMIF(第4节!$A$3:$A$313,A8,第4节!L$3:L$313)</f>
        <v/>
      </c>
      <c r="O8" s="44">
        <f>IF(L8=0,0,ROUND(N8/(L8*3),3))</f>
        <v/>
      </c>
      <c r="P8" s="16">
        <f>SUMIF(第4节!$A$3:$A$313,A8,第4节!M$3:M$313)</f>
        <v/>
      </c>
      <c r="Q8" s="16">
        <f>SUMIF(第4节!$A$3:$A$313,A8,第4节!N$3:N$313)</f>
        <v/>
      </c>
      <c r="R8" s="16">
        <f>SUMIF(第4节!$A$3:$A$313,A8,第4节!O$3:O$313)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SUMIF(第4节!$A$3:$A$313,A8,第4节!S$3:S$313)</f>
        <v/>
      </c>
      <c r="Y8" s="16">
        <f>SUMIF(第4节!$A$3:$A$313,A8,第4节!T$3:T$313)</f>
        <v/>
      </c>
      <c r="Z8" s="16">
        <f>X8+Y8</f>
        <v/>
      </c>
      <c r="AA8" s="16">
        <f>SUMIF(第4节!$A$3:$A$313,A8,第4节!V$3:V$313)</f>
        <v/>
      </c>
      <c r="AB8" s="16">
        <f>SUMIF(第4节!$A$3:$A$313,A8,第4节!W$3:W$313)</f>
        <v/>
      </c>
      <c r="AC8" s="16">
        <f>SUMIF(第4节!$A$3:$A$313,A8,第4节!X$3:X$313)</f>
        <v/>
      </c>
      <c r="AD8" s="18" t="n"/>
    </row>
    <row r="9" ht="22.5" customHeight="1">
      <c r="A9" s="14" t="inlineStr">
        <is>
          <t>施柏宇</t>
        </is>
      </c>
      <c r="B9" s="14">
        <f>COUNTIF(第4节!$A$3:$A$313,A9)</f>
        <v/>
      </c>
      <c r="C9" s="15">
        <f>SUMIF(第4节!$A$3:$A$313,A9,第4节!$C$3:$C$313)-SUMIF(第4节!$A$3:$A$313,A9,第4节!$B$3:$B$313)</f>
        <v/>
      </c>
      <c r="D9" s="16">
        <f>SUMIF(第4节!$A$3:$A$313,A9,第4节!D$3:D$313)</f>
        <v/>
      </c>
      <c r="E9" s="16">
        <f>SUMIF(第4节!$A$3:$A$313,A9,第4节!E$3:E$313)</f>
        <v/>
      </c>
      <c r="F9" s="16">
        <f>SUMIF(第4节!$A$3:$A$313,A9,第4节!F$3:F$313)</f>
        <v/>
      </c>
      <c r="G9" s="44">
        <f>IF(D9=0,0,ROUND(F9/(D9*2),3))</f>
        <v/>
      </c>
      <c r="H9" s="16">
        <f>SUMIF(第4节!$A$3:$A$313,A9,第4节!G$3:G$313)</f>
        <v/>
      </c>
      <c r="I9" s="16">
        <f>SUMIF(第4节!$A$3:$A$313,A9,第4节!H$3:H$313)</f>
        <v/>
      </c>
      <c r="J9" s="16">
        <f>SUMIF(第4节!$A$3:$A$313,A9,第4节!I$3:I$313)</f>
        <v/>
      </c>
      <c r="K9" s="44">
        <f>IF(H9=0,0,ROUND(J9/(H9*2),3))</f>
        <v/>
      </c>
      <c r="L9" s="16">
        <f>SUMIF(第4节!$A$3:$A$313,A9,第4节!J$3:J$313)</f>
        <v/>
      </c>
      <c r="M9" s="16">
        <f>SUMIF(第4节!$A$3:$A$313,A9,第4节!K$3:K$313)</f>
        <v/>
      </c>
      <c r="N9" s="16">
        <f>SUMIF(第4节!$A$3:$A$313,A9,第4节!L$3:L$313)</f>
        <v/>
      </c>
      <c r="O9" s="44">
        <f>IF(L9=0,0,ROUND(N9/(L9*3),3))</f>
        <v/>
      </c>
      <c r="P9" s="16">
        <f>SUMIF(第4节!$A$3:$A$313,A9,第4节!M$3:M$313)</f>
        <v/>
      </c>
      <c r="Q9" s="16">
        <f>SUMIF(第4节!$A$3:$A$313,A9,第4节!N$3:N$313)</f>
        <v/>
      </c>
      <c r="R9" s="16">
        <f>SUMIF(第4节!$A$3:$A$313,A9,第4节!O$3:O$313)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SUMIF(第4节!$A$3:$A$313,A9,第4节!S$3:S$313)</f>
        <v/>
      </c>
      <c r="Y9" s="16">
        <f>SUMIF(第4节!$A$3:$A$313,A9,第4节!T$3:T$313)</f>
        <v/>
      </c>
      <c r="Z9" s="16">
        <f>X9+Y9</f>
        <v/>
      </c>
      <c r="AA9" s="16">
        <f>SUMIF(第4节!$A$3:$A$313,A9,第4节!V$3:V$313)</f>
        <v/>
      </c>
      <c r="AB9" s="16">
        <f>SUMIF(第4节!$A$3:$A$313,A9,第4节!W$3:W$313)</f>
        <v/>
      </c>
      <c r="AC9" s="16">
        <f>SUMIF(第4节!$A$3:$A$313,A9,第4节!X$3:X$313)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COUNTIF(第4节!$A$3:$A$313,A9)</f>
        <v/>
      </c>
      <c r="C10" s="15">
        <f>SUMIF(第4节!$A$3:$A$313,A9,第4节!$C$3:$C$313)-SUMIF(第4节!$A$3:$A$313,A9,第4节!$B$3:$B$313)</f>
        <v/>
      </c>
      <c r="D10" s="16">
        <f>SUMIF(第4节!$A$3:$A$313,A9,第4节!D$3:D$313)</f>
        <v/>
      </c>
      <c r="E10" s="16">
        <f>SUMIF(第4节!$A$3:$A$313,A9,第4节!E$3:E$313)</f>
        <v/>
      </c>
      <c r="F10" s="16">
        <f>SUMIF(第4节!$A$3:$A$313,A9,第4节!F$3:F$313)</f>
        <v/>
      </c>
      <c r="G10" s="44">
        <f>IF(D9=0,0,ROUND(F9/(D9*2),3))</f>
        <v/>
      </c>
      <c r="H10" s="16">
        <f>SUMIF(第4节!$A$3:$A$313,A9,第4节!G$3:G$313)</f>
        <v/>
      </c>
      <c r="I10" s="16">
        <f>SUMIF(第4节!$A$3:$A$313,A9,第4节!H$3:H$313)</f>
        <v/>
      </c>
      <c r="J10" s="16">
        <f>SUMIF(第4节!$A$3:$A$313,A9,第4节!I$3:I$313)</f>
        <v/>
      </c>
      <c r="K10" s="44">
        <f>IF(H9=0,0,ROUND(J9/(H9*2),3))</f>
        <v/>
      </c>
      <c r="L10" s="16">
        <f>SUMIF(第4节!$A$3:$A$313,A9,第4节!J$3:J$313)</f>
        <v/>
      </c>
      <c r="M10" s="16">
        <f>SUMIF(第4节!$A$3:$A$313,A9,第4节!K$3:K$313)</f>
        <v/>
      </c>
      <c r="N10" s="16">
        <f>SUMIF(第4节!$A$3:$A$313,A9,第4节!L$3:L$313)</f>
        <v/>
      </c>
      <c r="O10" s="44">
        <f>IF(L9=0,0,ROUND(N9/(L9*3),3))</f>
        <v/>
      </c>
      <c r="P10" s="16">
        <f>SUMIF(第4节!$A$3:$A$313,A9,第4节!M$3:M$313)</f>
        <v/>
      </c>
      <c r="Q10" s="16">
        <f>SUMIF(第4节!$A$3:$A$313,A9,第4节!N$3:N$313)</f>
        <v/>
      </c>
      <c r="R10" s="16">
        <f>SUMIF(第4节!$A$3:$A$313,A9,第4节!O$3:O$313)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SUMIF(第4节!$A$3:$A$313,A9,第4节!S$3:S$313)</f>
        <v/>
      </c>
      <c r="Y10" s="16">
        <f>SUMIF(第4节!$A$3:$A$313,A9,第4节!T$3:T$313)</f>
        <v/>
      </c>
      <c r="Z10" s="16">
        <f>X9+Y9</f>
        <v/>
      </c>
      <c r="AA10" s="16">
        <f>SUMIF(第4节!$A$3:$A$313,A9,第4节!V$3:V$313)</f>
        <v/>
      </c>
      <c r="AB10" s="16">
        <f>SUMIF(第4节!$A$3:$A$313,A9,第4节!W$3:W$313)</f>
        <v/>
      </c>
      <c r="AC10" s="16">
        <f>SUMIF(第4节!$A$3:$A$313,A9,第4节!X$3:X$313)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COUNTIF(第4节!$A$3:$A$313,A9)</f>
        <v/>
      </c>
      <c r="C11" s="15">
        <f>SUMIF(第4节!$A$3:$A$313,A9,第4节!$C$3:$C$313)-SUMIF(第4节!$A$3:$A$313,A9,第4节!$B$3:$B$313)</f>
        <v/>
      </c>
      <c r="D11" s="16">
        <f>SUMIF(第4节!$A$3:$A$313,A9,第4节!D$3:D$313)</f>
        <v/>
      </c>
      <c r="E11" s="16">
        <f>SUMIF(第4节!$A$3:$A$313,A9,第4节!E$3:E$313)</f>
        <v/>
      </c>
      <c r="F11" s="16">
        <f>SUMIF(第4节!$A$3:$A$313,A9,第4节!F$3:F$313)</f>
        <v/>
      </c>
      <c r="G11" s="44">
        <f>IF(D9=0,0,ROUND(F9/(D9*2),3))</f>
        <v/>
      </c>
      <c r="H11" s="16">
        <f>SUMIF(第4节!$A$3:$A$313,A9,第4节!G$3:G$313)</f>
        <v/>
      </c>
      <c r="I11" s="16">
        <f>SUMIF(第4节!$A$3:$A$313,A9,第4节!H$3:H$313)</f>
        <v/>
      </c>
      <c r="J11" s="16">
        <f>SUMIF(第4节!$A$3:$A$313,A9,第4节!I$3:I$313)</f>
        <v/>
      </c>
      <c r="K11" s="44">
        <f>IF(H9=0,0,ROUND(J9/(H9*2),3))</f>
        <v/>
      </c>
      <c r="L11" s="16">
        <f>SUMIF(第4节!$A$3:$A$313,A9,第4节!J$3:J$313)</f>
        <v/>
      </c>
      <c r="M11" s="16">
        <f>SUMIF(第4节!$A$3:$A$313,A9,第4节!K$3:K$313)</f>
        <v/>
      </c>
      <c r="N11" s="16">
        <f>SUMIF(第4节!$A$3:$A$313,A9,第4节!L$3:L$313)</f>
        <v/>
      </c>
      <c r="O11" s="44">
        <f>IF(L9=0,0,ROUND(N9/(L9*3),3))</f>
        <v/>
      </c>
      <c r="P11" s="16">
        <f>SUMIF(第4节!$A$3:$A$313,A9,第4节!M$3:M$313)</f>
        <v/>
      </c>
      <c r="Q11" s="16">
        <f>SUMIF(第4节!$A$3:$A$313,A9,第4节!N$3:N$313)</f>
        <v/>
      </c>
      <c r="R11" s="16">
        <f>SUMIF(第4节!$A$3:$A$313,A9,第4节!O$3:O$313)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SUMIF(第4节!$A$3:$A$313,A9,第4节!S$3:S$313)</f>
        <v/>
      </c>
      <c r="Y11" s="16">
        <f>SUMIF(第4节!$A$3:$A$313,A9,第4节!T$3:T$313)</f>
        <v/>
      </c>
      <c r="Z11" s="16">
        <f>X9+Y9</f>
        <v/>
      </c>
      <c r="AA11" s="16">
        <f>SUMIF(第4节!$A$3:$A$313,A9,第4节!V$3:V$313)</f>
        <v/>
      </c>
      <c r="AB11" s="16">
        <f>SUMIF(第4节!$A$3:$A$313,A9,第4节!W$3:W$313)</f>
        <v/>
      </c>
      <c r="AC11" s="16">
        <f>SUMIF(第4节!$A$3:$A$313,A9,第4节!X$3:X$313)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COUNTIF(第4节!$A$3:$A$313,A9)</f>
        <v/>
      </c>
      <c r="C12" s="15">
        <f>SUMIF(第4节!$A$3:$A$313,A9,第4节!$C$3:$C$313)-SUMIF(第4节!$A$3:$A$313,A9,第4节!$B$3:$B$313)</f>
        <v/>
      </c>
      <c r="D12" s="16">
        <f>SUMIF(第4节!$A$3:$A$313,A9,第4节!D$3:D$313)</f>
        <v/>
      </c>
      <c r="E12" s="16">
        <f>SUMIF(第4节!$A$3:$A$313,A9,第4节!E$3:E$313)</f>
        <v/>
      </c>
      <c r="F12" s="16">
        <f>SUMIF(第4节!$A$3:$A$313,A9,第4节!F$3:F$313)</f>
        <v/>
      </c>
      <c r="G12" s="44">
        <f>IF(D9=0,0,ROUND(F9/(D9*2),3))</f>
        <v/>
      </c>
      <c r="H12" s="16">
        <f>SUMIF(第4节!$A$3:$A$313,A9,第4节!G$3:G$313)</f>
        <v/>
      </c>
      <c r="I12" s="16">
        <f>SUMIF(第4节!$A$3:$A$313,A9,第4节!H$3:H$313)</f>
        <v/>
      </c>
      <c r="J12" s="16">
        <f>SUMIF(第4节!$A$3:$A$313,A9,第4节!I$3:I$313)</f>
        <v/>
      </c>
      <c r="K12" s="44">
        <f>IF(H9=0,0,ROUND(J9/(H9*2),3))</f>
        <v/>
      </c>
      <c r="L12" s="16">
        <f>SUMIF(第4节!$A$3:$A$313,A9,第4节!J$3:J$313)</f>
        <v/>
      </c>
      <c r="M12" s="16">
        <f>SUMIF(第4节!$A$3:$A$313,A9,第4节!K$3:K$313)</f>
        <v/>
      </c>
      <c r="N12" s="16">
        <f>SUMIF(第4节!$A$3:$A$313,A9,第4节!L$3:L$313)</f>
        <v/>
      </c>
      <c r="O12" s="44">
        <f>IF(L9=0,0,ROUND(N9/(L9*3),3))</f>
        <v/>
      </c>
      <c r="P12" s="16">
        <f>SUMIF(第4节!$A$3:$A$313,A9,第4节!M$3:M$313)</f>
        <v/>
      </c>
      <c r="Q12" s="16">
        <f>SUMIF(第4节!$A$3:$A$313,A9,第4节!N$3:N$313)</f>
        <v/>
      </c>
      <c r="R12" s="16">
        <f>SUMIF(第4节!$A$3:$A$313,A9,第4节!O$3:O$313)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SUMIF(第4节!$A$3:$A$313,A9,第4节!S$3:S$313)</f>
        <v/>
      </c>
      <c r="Y12" s="16">
        <f>SUMIF(第4节!$A$3:$A$313,A9,第4节!T$3:T$313)</f>
        <v/>
      </c>
      <c r="Z12" s="16">
        <f>X9+Y9</f>
        <v/>
      </c>
      <c r="AA12" s="16">
        <f>SUMIF(第4节!$A$3:$A$313,A9,第4节!V$3:V$313)</f>
        <v/>
      </c>
      <c r="AB12" s="16">
        <f>SUMIF(第4节!$A$3:$A$313,A9,第4节!W$3:W$313)</f>
        <v/>
      </c>
      <c r="AC12" s="16">
        <f>SUMIF(第4节!$A$3:$A$313,A9,第4节!X$3:X$313)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COUNTIF(第4节!$A$3:$A$313,A9)</f>
        <v/>
      </c>
      <c r="C13" s="15">
        <f>SUMIF(第4节!$A$3:$A$313,A9,第4节!$C$3:$C$313)-SUMIF(第4节!$A$3:$A$313,A9,第4节!$B$3:$B$313)</f>
        <v/>
      </c>
      <c r="D13" s="16">
        <f>SUMIF(第4节!$A$3:$A$313,A9,第4节!D$3:D$313)</f>
        <v/>
      </c>
      <c r="E13" s="16">
        <f>SUMIF(第4节!$A$3:$A$313,A9,第4节!E$3:E$313)</f>
        <v/>
      </c>
      <c r="F13" s="16">
        <f>SUMIF(第4节!$A$3:$A$313,A9,第4节!F$3:F$313)</f>
        <v/>
      </c>
      <c r="G13" s="44">
        <f>IF(D9=0,0,ROUND(F9/(D9*2),3))</f>
        <v/>
      </c>
      <c r="H13" s="16">
        <f>SUMIF(第4节!$A$3:$A$313,A9,第4节!G$3:G$313)</f>
        <v/>
      </c>
      <c r="I13" s="16">
        <f>SUMIF(第4节!$A$3:$A$313,A9,第4节!H$3:H$313)</f>
        <v/>
      </c>
      <c r="J13" s="16">
        <f>SUMIF(第4节!$A$3:$A$313,A9,第4节!I$3:I$313)</f>
        <v/>
      </c>
      <c r="K13" s="44">
        <f>IF(H9=0,0,ROUND(J9/(H9*2),3))</f>
        <v/>
      </c>
      <c r="L13" s="16">
        <f>SUMIF(第4节!$A$3:$A$313,A9,第4节!J$3:J$313)</f>
        <v/>
      </c>
      <c r="M13" s="16">
        <f>SUMIF(第4节!$A$3:$A$313,A9,第4节!K$3:K$313)</f>
        <v/>
      </c>
      <c r="N13" s="16">
        <f>SUMIF(第4节!$A$3:$A$313,A9,第4节!L$3:L$313)</f>
        <v/>
      </c>
      <c r="O13" s="44">
        <f>IF(L9=0,0,ROUND(N9/(L9*3),3))</f>
        <v/>
      </c>
      <c r="P13" s="16">
        <f>SUMIF(第4节!$A$3:$A$313,A9,第4节!M$3:M$313)</f>
        <v/>
      </c>
      <c r="Q13" s="16">
        <f>SUMIF(第4节!$A$3:$A$313,A9,第4节!N$3:N$313)</f>
        <v/>
      </c>
      <c r="R13" s="16">
        <f>SUMIF(第4节!$A$3:$A$313,A9,第4节!O$3:O$313)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SUMIF(第4节!$A$3:$A$313,A9,第4节!S$3:S$313)</f>
        <v/>
      </c>
      <c r="Y13" s="16">
        <f>SUMIF(第4节!$A$3:$A$313,A9,第4节!T$3:T$313)</f>
        <v/>
      </c>
      <c r="Z13" s="16">
        <f>X9+Y9</f>
        <v/>
      </c>
      <c r="AA13" s="16">
        <f>SUMIF(第4节!$A$3:$A$313,A9,第4节!V$3:V$313)</f>
        <v/>
      </c>
      <c r="AB13" s="16">
        <f>SUMIF(第4节!$A$3:$A$313,A9,第4节!W$3:W$313)</f>
        <v/>
      </c>
      <c r="AC13" s="16">
        <f>SUMIF(第4节!$A$3:$A$313,A9,第4节!X$3:X$313)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COUNTIF(第4节!$A$3:$A$313,A9)</f>
        <v/>
      </c>
      <c r="C14" s="15">
        <f>SUMIF(第4节!$A$3:$A$313,A9,第4节!$C$3:$C$313)-SUMIF(第4节!$A$3:$A$313,A9,第4节!$B$3:$B$313)</f>
        <v/>
      </c>
      <c r="D14" s="16">
        <f>SUMIF(第4节!$A$3:$A$313,A9,第4节!D$3:D$313)</f>
        <v/>
      </c>
      <c r="E14" s="16">
        <f>SUMIF(第4节!$A$3:$A$313,A9,第4节!E$3:E$313)</f>
        <v/>
      </c>
      <c r="F14" s="16">
        <f>SUMIF(第4节!$A$3:$A$313,A9,第4节!F$3:F$313)</f>
        <v/>
      </c>
      <c r="G14" s="44">
        <f>IF(D9=0,0,ROUND(F9/(D9*2),3))</f>
        <v/>
      </c>
      <c r="H14" s="16">
        <f>SUMIF(第4节!$A$3:$A$313,A9,第4节!G$3:G$313)</f>
        <v/>
      </c>
      <c r="I14" s="16">
        <f>SUMIF(第4节!$A$3:$A$313,A9,第4节!H$3:H$313)</f>
        <v/>
      </c>
      <c r="J14" s="16">
        <f>SUMIF(第4节!$A$3:$A$313,A9,第4节!I$3:I$313)</f>
        <v/>
      </c>
      <c r="K14" s="44">
        <f>IF(H9=0,0,ROUND(J9/(H9*2),3))</f>
        <v/>
      </c>
      <c r="L14" s="16">
        <f>SUMIF(第4节!$A$3:$A$313,A9,第4节!J$3:J$313)</f>
        <v/>
      </c>
      <c r="M14" s="16">
        <f>SUMIF(第4节!$A$3:$A$313,A9,第4节!K$3:K$313)</f>
        <v/>
      </c>
      <c r="N14" s="16">
        <f>SUMIF(第4节!$A$3:$A$313,A9,第4节!L$3:L$313)</f>
        <v/>
      </c>
      <c r="O14" s="44">
        <f>IF(L9=0,0,ROUND(N9/(L9*3),3))</f>
        <v/>
      </c>
      <c r="P14" s="16">
        <f>SUMIF(第4节!$A$3:$A$313,A9,第4节!M$3:M$313)</f>
        <v/>
      </c>
      <c r="Q14" s="16">
        <f>SUMIF(第4节!$A$3:$A$313,A9,第4节!N$3:N$313)</f>
        <v/>
      </c>
      <c r="R14" s="16">
        <f>SUMIF(第4节!$A$3:$A$313,A9,第4节!O$3:O$313)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SUMIF(第4节!$A$3:$A$313,A9,第4节!S$3:S$313)</f>
        <v/>
      </c>
      <c r="Y14" s="16">
        <f>SUMIF(第4节!$A$3:$A$313,A9,第4节!T$3:T$313)</f>
        <v/>
      </c>
      <c r="Z14" s="16">
        <f>X9+Y9</f>
        <v/>
      </c>
      <c r="AA14" s="16">
        <f>SUMIF(第4节!$A$3:$A$313,A9,第4节!V$3:V$313)</f>
        <v/>
      </c>
      <c r="AB14" s="16">
        <f>SUMIF(第4节!$A$3:$A$313,A9,第4节!W$3:W$313)</f>
        <v/>
      </c>
      <c r="AC14" s="16">
        <f>SUMIF(第4节!$A$3:$A$313,A9,第4节!X$3:X$313)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COUNTIF(第4节!$A$3:$A$313,A9)</f>
        <v/>
      </c>
      <c r="C15" s="15">
        <f>SUMIF(第4节!$A$3:$A$313,A9,第4节!$C$3:$C$313)-SUMIF(第4节!$A$3:$A$313,A9,第4节!$B$3:$B$313)</f>
        <v/>
      </c>
      <c r="D15" s="16">
        <f>SUMIF(第4节!$A$3:$A$313,A9,第4节!D$3:D$313)</f>
        <v/>
      </c>
      <c r="E15" s="16">
        <f>SUMIF(第4节!$A$3:$A$313,A9,第4节!E$3:E$313)</f>
        <v/>
      </c>
      <c r="F15" s="16">
        <f>SUMIF(第4节!$A$3:$A$313,A9,第4节!F$3:F$313)</f>
        <v/>
      </c>
      <c r="G15" s="44">
        <f>IF(D9=0,0,ROUND(F9/(D9*2),3))</f>
        <v/>
      </c>
      <c r="H15" s="16">
        <f>SUMIF(第4节!$A$3:$A$313,A9,第4节!G$3:G$313)</f>
        <v/>
      </c>
      <c r="I15" s="16">
        <f>SUMIF(第4节!$A$3:$A$313,A9,第4节!H$3:H$313)</f>
        <v/>
      </c>
      <c r="J15" s="16">
        <f>SUMIF(第4节!$A$3:$A$313,A9,第4节!I$3:I$313)</f>
        <v/>
      </c>
      <c r="K15" s="44">
        <f>IF(H9=0,0,ROUND(J9/(H9*2),3))</f>
        <v/>
      </c>
      <c r="L15" s="16">
        <f>SUMIF(第4节!$A$3:$A$313,A9,第4节!J$3:J$313)</f>
        <v/>
      </c>
      <c r="M15" s="16">
        <f>SUMIF(第4节!$A$3:$A$313,A9,第4节!K$3:K$313)</f>
        <v/>
      </c>
      <c r="N15" s="16">
        <f>SUMIF(第4节!$A$3:$A$313,A9,第4节!L$3:L$313)</f>
        <v/>
      </c>
      <c r="O15" s="44">
        <f>IF(L9=0,0,ROUND(N9/(L9*3),3))</f>
        <v/>
      </c>
      <c r="P15" s="16">
        <f>SUMIF(第4节!$A$3:$A$313,A9,第4节!M$3:M$313)</f>
        <v/>
      </c>
      <c r="Q15" s="16">
        <f>SUMIF(第4节!$A$3:$A$313,A9,第4节!N$3:N$313)</f>
        <v/>
      </c>
      <c r="R15" s="16">
        <f>SUMIF(第4节!$A$3:$A$313,A9,第4节!O$3:O$313)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SUMIF(第4节!$A$3:$A$313,A9,第4节!S$3:S$313)</f>
        <v/>
      </c>
      <c r="Y15" s="16">
        <f>SUMIF(第4节!$A$3:$A$313,A9,第4节!T$3:T$313)</f>
        <v/>
      </c>
      <c r="Z15" s="16">
        <f>X9+Y9</f>
        <v/>
      </c>
      <c r="AA15" s="16">
        <f>SUMIF(第4节!$A$3:$A$313,A9,第4节!V$3:V$313)</f>
        <v/>
      </c>
      <c r="AB15" s="16">
        <f>SUMIF(第4节!$A$3:$A$313,A9,第4节!W$3:W$313)</f>
        <v/>
      </c>
      <c r="AC15" s="16">
        <f>SUMIF(第4节!$A$3:$A$313,A9,第4节!X$3:X$313)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SUMPRODUCT(COUNTIF($A$11:$A$17,第4节!$A$3:$A$313))</f>
        <v/>
      </c>
      <c r="C16" s="20">
        <f>SUMPRODUCT(COUNTIF($A$11:$A$17,第4节!$A$3:$A$313),第4节!$C$3:$C$313)-SUMPRODUCT(COUNTIF($A$11:$A$17,第4节!$A$3:$A$313),第4节!$B$3:$B$313)</f>
        <v/>
      </c>
      <c r="D16" s="19">
        <f>SUMPRODUCT(COUNTIF($A$11:$A$17,第4节!$A$3:$A$313),第4节!D$3:D$313)</f>
        <v/>
      </c>
      <c r="E16" s="19">
        <f>SUMPRODUCT(COUNTIF($A$11:$A$17,第4节!$A$3:$A$313),第4节!E$3:E$313)</f>
        <v/>
      </c>
      <c r="F16" s="19">
        <f>SUMPRODUCT(COUNTIF($A$11:$A$17,第4节!$A$3:$A$313),第4节!F$3:F$313)</f>
        <v/>
      </c>
      <c r="G16" s="45">
        <f>IF(D10=0,0,ROUND(F10/(D10*2),3))</f>
        <v/>
      </c>
      <c r="H16" s="19">
        <f>SUMPRODUCT(COUNTIF($A$11:$A$17,第4节!$A$3:$A$313),第4节!G$3:G$313)</f>
        <v/>
      </c>
      <c r="I16" s="19">
        <f>SUMPRODUCT(COUNTIF($A$11:$A$17,第4节!$A$3:$A$313),第4节!H$3:H$313)</f>
        <v/>
      </c>
      <c r="J16" s="19">
        <f>SUMPRODUCT(COUNTIF($A$11:$A$17,第4节!$A$3:$A$313),第4节!I$3:I$313)</f>
        <v/>
      </c>
      <c r="K16" s="45">
        <f>IF(H10=0,0,ROUND(J10/(H10*2),3))</f>
        <v/>
      </c>
      <c r="L16" s="19">
        <f>SUMPRODUCT(COUNTIF($A$11:$A$17,第4节!$A$3:$A$313),第4节!J$3:J$313)</f>
        <v/>
      </c>
      <c r="M16" s="19">
        <f>SUMPRODUCT(COUNTIF($A$11:$A$17,第4节!$A$3:$A$313),第4节!K$3:K$313)</f>
        <v/>
      </c>
      <c r="N16" s="19">
        <f>SUMPRODUCT(COUNTIF($A$11:$A$17,第4节!$A$3:$A$313),第4节!L$3:L$313)</f>
        <v/>
      </c>
      <c r="O16" s="45">
        <f>IF(L10=0,0,ROUND(N10/(L10*3),3))</f>
        <v/>
      </c>
      <c r="P16" s="19">
        <f>SUMPRODUCT(COUNTIF($A$11:$A$17,第4节!$A$3:$A$313),第4节!M$3:M$313)</f>
        <v/>
      </c>
      <c r="Q16" s="19">
        <f>SUMPRODUCT(COUNTIF($A$11:$A$17,第4节!$A$3:$A$313),第4节!N$3:N$313)</f>
        <v/>
      </c>
      <c r="R16" s="19">
        <f>SUMPRODUCT(COUNTIF($A$11:$A$17,第4节!$A$3:$A$313),第4节!O$3:O$313)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SUMPRODUCT(COUNTIF($A$11:$A$17,第4节!$A$3:$A$313),第4节!S$3:S$313)</f>
        <v/>
      </c>
      <c r="Y16" s="19">
        <f>SUMPRODUCT(COUNTIF($A$11:$A$17,第4节!$A$3:$A$313),第4节!T$3:T$313)</f>
        <v/>
      </c>
      <c r="Z16" s="19">
        <f>X10+Y10</f>
        <v/>
      </c>
      <c r="AA16" s="19">
        <f>SUMPRODUCT(COUNTIF($A$11:$A$17,第4节!$A$3:$A$313),第4节!V$3:V$313)</f>
        <v/>
      </c>
      <c r="AB16" s="19">
        <f>SUMPRODUCT(COUNTIF($A$11:$A$17,第4节!$A$3:$A$313),第4节!W$3:W$313)</f>
        <v/>
      </c>
      <c r="AC16" s="19">
        <f>SUMPRODUCT(COUNTIF($A$11:$A$17,第4节!$A$3:$A$313),第4节!X$3:X$313)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COUNTIF(第4节!$A$3:$A$313,A11)</f>
        <v/>
      </c>
      <c r="C17" s="24">
        <f>SUMIF(第4节!$A$3:$A$313,A11,第4节!$C$3:$C$313)-SUMIF(第4节!$A$3:$A$313,A11,第4节!$B$3:$B$313)</f>
        <v/>
      </c>
      <c r="D17" s="25">
        <f>SUMIF(第4节!$A$3:$A$313,A11,第4节!D$3:D$313)</f>
        <v/>
      </c>
      <c r="E17" s="25">
        <f>SUMIF(第4节!$A$3:$A$313,A11,第4节!E$3:E$313)</f>
        <v/>
      </c>
      <c r="F17" s="25">
        <f>SUMIF(第4节!$A$3:$A$313,A11,第4节!F$3:F$313)</f>
        <v/>
      </c>
      <c r="G17" s="46">
        <f>IF(D11=0,0,ROUND(F11/(D11*2),3))</f>
        <v/>
      </c>
      <c r="H17" s="25">
        <f>SUMIF(第4节!$A$3:$A$313,A11,第4节!G$3:G$313)</f>
        <v/>
      </c>
      <c r="I17" s="25">
        <f>SUMIF(第4节!$A$3:$A$313,A11,第4节!H$3:H$313)</f>
        <v/>
      </c>
      <c r="J17" s="25">
        <f>SUMIF(第4节!$A$3:$A$313,A11,第4节!I$3:I$313)</f>
        <v/>
      </c>
      <c r="K17" s="46">
        <f>IF(H11=0,0,ROUND(J11/(H11*2),3))</f>
        <v/>
      </c>
      <c r="L17" s="25">
        <f>SUMIF(第4节!$A$3:$A$313,A11,第4节!J$3:J$313)</f>
        <v/>
      </c>
      <c r="M17" s="25">
        <f>SUMIF(第4节!$A$3:$A$313,A11,第4节!K$3:K$313)</f>
        <v/>
      </c>
      <c r="N17" s="25">
        <f>SUMIF(第4节!$A$3:$A$313,A11,第4节!L$3:L$313)</f>
        <v/>
      </c>
      <c r="O17" s="46">
        <f>IF(L11=0,0,ROUND(N11/(L11*3),3))</f>
        <v/>
      </c>
      <c r="P17" s="25">
        <f>SUMIF(第4节!$A$3:$A$313,A11,第4节!M$3:M$313)</f>
        <v/>
      </c>
      <c r="Q17" s="25">
        <f>SUMIF(第4节!$A$3:$A$313,A11,第4节!N$3:N$313)</f>
        <v/>
      </c>
      <c r="R17" s="25">
        <f>SUMIF(第4节!$A$3:$A$313,A11,第4节!O$3:O$313)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SUMIF(第4节!$A$3:$A$313,A11,第4节!S$3:S$313)</f>
        <v/>
      </c>
      <c r="Y17" s="25">
        <f>SUMIF(第4节!$A$3:$A$313,A11,第4节!T$3:T$313)</f>
        <v/>
      </c>
      <c r="Z17" s="25">
        <f>X11+Y11</f>
        <v/>
      </c>
      <c r="AA17" s="25">
        <f>SUMIF(第4节!$A$3:$A$313,A11,第4节!V$3:V$313)</f>
        <v/>
      </c>
      <c r="AB17" s="25">
        <f>SUMIF(第4节!$A$3:$A$313,A11,第4节!W$3:W$313)</f>
        <v/>
      </c>
      <c r="AC17" s="25">
        <f>SUMIF(第4节!$A$3:$A$313,A11,第4节!X$3:X$313)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COUNTIF(第4节!$A$3:$A$313,A12)</f>
        <v/>
      </c>
      <c r="C18" s="24">
        <f>SUMIF(第4节!$A$3:$A$313,A12,第4节!$C$3:$C$313)-SUMIF(第4节!$A$3:$A$313,A12,第4节!$B$3:$B$313)</f>
        <v/>
      </c>
      <c r="D18" s="25">
        <f>SUMIF(第4节!$A$3:$A$313,A12,第4节!D$3:D$313)</f>
        <v/>
      </c>
      <c r="E18" s="25">
        <f>SUMIF(第4节!$A$3:$A$313,A12,第4节!E$3:E$313)</f>
        <v/>
      </c>
      <c r="F18" s="25">
        <f>SUMIF(第4节!$A$3:$A$313,A12,第4节!F$3:F$313)</f>
        <v/>
      </c>
      <c r="G18" s="46">
        <f>IF(D12=0,0,ROUND(F12/(D12*2),3))</f>
        <v/>
      </c>
      <c r="H18" s="25">
        <f>SUMIF(第4节!$A$3:$A$313,A12,第4节!G$3:G$313)</f>
        <v/>
      </c>
      <c r="I18" s="25">
        <f>SUMIF(第4节!$A$3:$A$313,A12,第4节!H$3:H$313)</f>
        <v/>
      </c>
      <c r="J18" s="25">
        <f>SUMIF(第4节!$A$3:$A$313,A12,第4节!I$3:I$313)</f>
        <v/>
      </c>
      <c r="K18" s="46">
        <f>IF(H12=0,0,ROUND(J12/(H12*2),3))</f>
        <v/>
      </c>
      <c r="L18" s="25">
        <f>SUMIF(第4节!$A$3:$A$313,A12,第4节!J$3:J$313)</f>
        <v/>
      </c>
      <c r="M18" s="25">
        <f>SUMIF(第4节!$A$3:$A$313,A12,第4节!K$3:K$313)</f>
        <v/>
      </c>
      <c r="N18" s="25">
        <f>SUMIF(第4节!$A$3:$A$313,A12,第4节!L$3:L$313)</f>
        <v/>
      </c>
      <c r="O18" s="46">
        <f>IF(L12=0,0,ROUND(N12/(L12*3),3))</f>
        <v/>
      </c>
      <c r="P18" s="25">
        <f>SUMIF(第4节!$A$3:$A$313,A12,第4节!M$3:M$313)</f>
        <v/>
      </c>
      <c r="Q18" s="25">
        <f>SUMIF(第4节!$A$3:$A$313,A12,第4节!N$3:N$313)</f>
        <v/>
      </c>
      <c r="R18" s="25">
        <f>SUMIF(第4节!$A$3:$A$313,A12,第4节!O$3:O$313)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SUMIF(第4节!$A$3:$A$313,A12,第4节!S$3:S$313)</f>
        <v/>
      </c>
      <c r="Y18" s="25">
        <f>SUMIF(第4节!$A$3:$A$313,A12,第4节!T$3:T$313)</f>
        <v/>
      </c>
      <c r="Z18" s="25">
        <f>X12+Y12</f>
        <v/>
      </c>
      <c r="AA18" s="25">
        <f>SUMIF(第4节!$A$3:$A$313,A12,第4节!V$3:V$313)</f>
        <v/>
      </c>
      <c r="AB18" s="25">
        <f>SUMIF(第4节!$A$3:$A$313,A12,第4节!W$3:W$313)</f>
        <v/>
      </c>
      <c r="AC18" s="25">
        <f>SUMIF(第4节!$A$3:$A$313,A12,第4节!X$3:X$313)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COUNTIF(第4节!$A$3:$A$313,A13)</f>
        <v/>
      </c>
      <c r="C19" s="24">
        <f>SUMIF(第4节!$A$3:$A$313,A13,第4节!$C$3:$C$313)-SUMIF(第4节!$A$3:$A$313,A13,第4节!$B$3:$B$313)</f>
        <v/>
      </c>
      <c r="D19" s="25">
        <f>SUMIF(第4节!$A$3:$A$313,A13,第4节!D$3:D$313)</f>
        <v/>
      </c>
      <c r="E19" s="25">
        <f>SUMIF(第4节!$A$3:$A$313,A13,第4节!E$3:E$313)</f>
        <v/>
      </c>
      <c r="F19" s="25">
        <f>SUMIF(第4节!$A$3:$A$313,A13,第4节!F$3:F$313)</f>
        <v/>
      </c>
      <c r="G19" s="46">
        <f>IF(D13=0,0,ROUND(F13/(D13*2),3))</f>
        <v/>
      </c>
      <c r="H19" s="25">
        <f>SUMIF(第4节!$A$3:$A$313,A13,第4节!G$3:G$313)</f>
        <v/>
      </c>
      <c r="I19" s="25">
        <f>SUMIF(第4节!$A$3:$A$313,A13,第4节!H$3:H$313)</f>
        <v/>
      </c>
      <c r="J19" s="25">
        <f>SUMIF(第4节!$A$3:$A$313,A13,第4节!I$3:I$313)</f>
        <v/>
      </c>
      <c r="K19" s="46">
        <f>IF(H13=0,0,ROUND(J13/(H13*2),3))</f>
        <v/>
      </c>
      <c r="L19" s="25">
        <f>SUMIF(第4节!$A$3:$A$313,A13,第4节!J$3:J$313)</f>
        <v/>
      </c>
      <c r="M19" s="25">
        <f>SUMIF(第4节!$A$3:$A$313,A13,第4节!K$3:K$313)</f>
        <v/>
      </c>
      <c r="N19" s="25">
        <f>SUMIF(第4节!$A$3:$A$313,A13,第4节!L$3:L$313)</f>
        <v/>
      </c>
      <c r="O19" s="46">
        <f>IF(L13=0,0,ROUND(N13/(L13*3),3))</f>
        <v/>
      </c>
      <c r="P19" s="25">
        <f>SUMIF(第4节!$A$3:$A$313,A13,第4节!M$3:M$313)</f>
        <v/>
      </c>
      <c r="Q19" s="25">
        <f>SUMIF(第4节!$A$3:$A$313,A13,第4节!N$3:N$313)</f>
        <v/>
      </c>
      <c r="R19" s="25">
        <f>SUMIF(第4节!$A$3:$A$313,A13,第4节!O$3:O$313)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SUMIF(第4节!$A$3:$A$313,A13,第4节!S$3:S$313)</f>
        <v/>
      </c>
      <c r="Y19" s="25">
        <f>SUMIF(第4节!$A$3:$A$313,A13,第4节!T$3:T$313)</f>
        <v/>
      </c>
      <c r="Z19" s="25">
        <f>X13+Y13</f>
        <v/>
      </c>
      <c r="AA19" s="25">
        <f>SUMIF(第4节!$A$3:$A$313,A13,第4节!V$3:V$313)</f>
        <v/>
      </c>
      <c r="AB19" s="25">
        <f>SUMIF(第4节!$A$3:$A$313,A13,第4节!W$3:W$313)</f>
        <v/>
      </c>
      <c r="AC19" s="25">
        <f>SUMIF(第4节!$A$3:$A$313,A13,第4节!X$3:X$313)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COUNTIF(第4节!$A$3:$A$313,A14)</f>
        <v/>
      </c>
      <c r="C20" s="24">
        <f>SUMIF(第4节!$A$3:$A$313,A14,第4节!$C$3:$C$313)-SUMIF(第4节!$A$3:$A$313,A14,第4节!$B$3:$B$313)</f>
        <v/>
      </c>
      <c r="D20" s="25">
        <f>SUMIF(第4节!$A$3:$A$313,A14,第4节!D$3:D$313)</f>
        <v/>
      </c>
      <c r="E20" s="25">
        <f>SUMIF(第4节!$A$3:$A$313,A14,第4节!E$3:E$313)</f>
        <v/>
      </c>
      <c r="F20" s="25">
        <f>SUMIF(第4节!$A$3:$A$313,A14,第4节!F$3:F$313)</f>
        <v/>
      </c>
      <c r="G20" s="46">
        <f>IF(D14=0,0,ROUND(F14/(D14*2),3))</f>
        <v/>
      </c>
      <c r="H20" s="25">
        <f>SUMIF(第4节!$A$3:$A$313,A14,第4节!G$3:G$313)</f>
        <v/>
      </c>
      <c r="I20" s="25">
        <f>SUMIF(第4节!$A$3:$A$313,A14,第4节!H$3:H$313)</f>
        <v/>
      </c>
      <c r="J20" s="25">
        <f>SUMIF(第4节!$A$3:$A$313,A14,第4节!I$3:I$313)</f>
        <v/>
      </c>
      <c r="K20" s="46">
        <f>IF(H14=0,0,ROUND(J14/(H14*2),3))</f>
        <v/>
      </c>
      <c r="L20" s="25">
        <f>SUMIF(第4节!$A$3:$A$313,A14,第4节!J$3:J$313)</f>
        <v/>
      </c>
      <c r="M20" s="25">
        <f>SUMIF(第4节!$A$3:$A$313,A14,第4节!K$3:K$313)</f>
        <v/>
      </c>
      <c r="N20" s="25">
        <f>SUMIF(第4节!$A$3:$A$313,A14,第4节!L$3:L$313)</f>
        <v/>
      </c>
      <c r="O20" s="46">
        <f>IF(L14=0,0,ROUND(N14/(L14*3),3))</f>
        <v/>
      </c>
      <c r="P20" s="25">
        <f>SUMIF(第4节!$A$3:$A$313,A14,第4节!M$3:M$313)</f>
        <v/>
      </c>
      <c r="Q20" s="25">
        <f>SUMIF(第4节!$A$3:$A$313,A14,第4节!N$3:N$313)</f>
        <v/>
      </c>
      <c r="R20" s="25">
        <f>SUMIF(第4节!$A$3:$A$313,A14,第4节!O$3:O$313)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SUMIF(第4节!$A$3:$A$313,A14,第4节!S$3:S$313)</f>
        <v/>
      </c>
      <c r="Y20" s="25">
        <f>SUMIF(第4节!$A$3:$A$313,A14,第4节!T$3:T$313)</f>
        <v/>
      </c>
      <c r="Z20" s="25">
        <f>X14+Y14</f>
        <v/>
      </c>
      <c r="AA20" s="25">
        <f>SUMIF(第4节!$A$3:$A$313,A14,第4节!V$3:V$313)</f>
        <v/>
      </c>
      <c r="AB20" s="25">
        <f>SUMIF(第4节!$A$3:$A$313,A14,第4节!W$3:W$313)</f>
        <v/>
      </c>
      <c r="AC20" s="25">
        <f>SUMIF(第4节!$A$3:$A$313,A14,第4节!X$3:X$313)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COUNTIF(第4节!$A$3:$A$313,A15)</f>
        <v/>
      </c>
      <c r="C21" s="24">
        <f>SUMIF(第4节!$A$3:$A$313,A15,第4节!$C$3:$C$313)-SUMIF(第4节!$A$3:$A$313,A15,第4节!$B$3:$B$313)</f>
        <v/>
      </c>
      <c r="D21" s="25">
        <f>SUMIF(第4节!$A$3:$A$313,A15,第4节!D$3:D$313)</f>
        <v/>
      </c>
      <c r="E21" s="25">
        <f>SUMIF(第4节!$A$3:$A$313,A15,第4节!E$3:E$313)</f>
        <v/>
      </c>
      <c r="F21" s="25">
        <f>SUMIF(第4节!$A$3:$A$313,A15,第4节!F$3:F$313)</f>
        <v/>
      </c>
      <c r="G21" s="46">
        <f>IF(D15=0,0,ROUND(F15/(D15*2),3))</f>
        <v/>
      </c>
      <c r="H21" s="25">
        <f>SUMIF(第4节!$A$3:$A$313,A15,第4节!G$3:G$313)</f>
        <v/>
      </c>
      <c r="I21" s="25">
        <f>SUMIF(第4节!$A$3:$A$313,A15,第4节!H$3:H$313)</f>
        <v/>
      </c>
      <c r="J21" s="25">
        <f>SUMIF(第4节!$A$3:$A$313,A15,第4节!I$3:I$313)</f>
        <v/>
      </c>
      <c r="K21" s="46">
        <f>IF(H15=0,0,ROUND(J15/(H15*2),3))</f>
        <v/>
      </c>
      <c r="L21" s="25">
        <f>SUMIF(第4节!$A$3:$A$313,A15,第4节!J$3:J$313)</f>
        <v/>
      </c>
      <c r="M21" s="25">
        <f>SUMIF(第4节!$A$3:$A$313,A15,第4节!K$3:K$313)</f>
        <v/>
      </c>
      <c r="N21" s="25">
        <f>SUMIF(第4节!$A$3:$A$313,A15,第4节!L$3:L$313)</f>
        <v/>
      </c>
      <c r="O21" s="46">
        <f>IF(L15=0,0,ROUND(N15/(L15*3),3))</f>
        <v/>
      </c>
      <c r="P21" s="25">
        <f>SUMIF(第4节!$A$3:$A$313,A15,第4节!M$3:M$313)</f>
        <v/>
      </c>
      <c r="Q21" s="25">
        <f>SUMIF(第4节!$A$3:$A$313,A15,第4节!N$3:N$313)</f>
        <v/>
      </c>
      <c r="R21" s="25">
        <f>SUMIF(第4节!$A$3:$A$313,A15,第4节!O$3:O$313)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SUMIF(第4节!$A$3:$A$313,A15,第4节!S$3:S$313)</f>
        <v/>
      </c>
      <c r="Y21" s="25">
        <f>SUMIF(第4节!$A$3:$A$313,A15,第4节!T$3:T$313)</f>
        <v/>
      </c>
      <c r="Z21" s="25">
        <f>X15+Y15</f>
        <v/>
      </c>
      <c r="AA21" s="25">
        <f>SUMIF(第4节!$A$3:$A$313,A15,第4节!V$3:V$313)</f>
        <v/>
      </c>
      <c r="AB21" s="25">
        <f>SUMIF(第4节!$A$3:$A$313,A15,第4节!W$3:W$313)</f>
        <v/>
      </c>
      <c r="AC21" s="25">
        <f>SUMIF(第4节!$A$3:$A$313,A15,第4节!X$3:X$313)</f>
        <v/>
      </c>
      <c r="AD21" s="27" t="n"/>
    </row>
    <row r="22">
      <c r="A22" s="23" t="inlineStr">
        <is>
          <t>许馨墨</t>
        </is>
      </c>
      <c r="B22" s="23">
        <f>COUNTIF(第4节!$A$3:$A$313,A16)</f>
        <v/>
      </c>
      <c r="C22" s="24">
        <f>SUMIF(第4节!$A$3:$A$313,A16,第4节!$C$3:$C$313)-SUMIF(第4节!$A$3:$A$313,A16,第4节!$B$3:$B$313)</f>
        <v/>
      </c>
      <c r="D22" s="25">
        <f>SUMIF(第4节!$A$3:$A$313,A16,第4节!D$3:D$313)</f>
        <v/>
      </c>
      <c r="E22" s="25">
        <f>SUMIF(第4节!$A$3:$A$313,A16,第4节!E$3:E$313)</f>
        <v/>
      </c>
      <c r="F22" s="25">
        <f>SUMIF(第4节!$A$3:$A$313,A16,第4节!F$3:F$313)</f>
        <v/>
      </c>
      <c r="G22" s="46">
        <f>IF(D16=0,0,ROUND(F16/(D16*2),3))</f>
        <v/>
      </c>
      <c r="H22" s="25">
        <f>SUMIF(第4节!$A$3:$A$313,A16,第4节!G$3:G$313)</f>
        <v/>
      </c>
      <c r="I22" s="25">
        <f>SUMIF(第4节!$A$3:$A$313,A16,第4节!H$3:H$313)</f>
        <v/>
      </c>
      <c r="J22" s="25">
        <f>SUMIF(第4节!$A$3:$A$313,A16,第4节!I$3:I$313)</f>
        <v/>
      </c>
      <c r="K22" s="46">
        <f>IF(H16=0,0,ROUND(J16/(H16*2),3))</f>
        <v/>
      </c>
      <c r="L22" s="25">
        <f>SUMIF(第4节!$A$3:$A$313,A16,第4节!J$3:J$313)</f>
        <v/>
      </c>
      <c r="M22" s="25">
        <f>SUMIF(第4节!$A$3:$A$313,A16,第4节!K$3:K$313)</f>
        <v/>
      </c>
      <c r="N22" s="25">
        <f>SUMIF(第4节!$A$3:$A$313,A16,第4节!L$3:L$313)</f>
        <v/>
      </c>
      <c r="O22" s="46">
        <f>IF(L16=0,0,ROUND(N16/(L16*3),3))</f>
        <v/>
      </c>
      <c r="P22" s="25">
        <f>SUMIF(第4节!$A$3:$A$313,A16,第4节!M$3:M$313)</f>
        <v/>
      </c>
      <c r="Q22" s="25">
        <f>SUMIF(第4节!$A$3:$A$313,A16,第4节!N$3:N$313)</f>
        <v/>
      </c>
      <c r="R22" s="25">
        <f>SUMIF(第4节!$A$3:$A$313,A16,第4节!O$3:O$313)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SUMIF(第4节!$A$3:$A$313,A16,第4节!S$3:S$313)</f>
        <v/>
      </c>
      <c r="Y22" s="25">
        <f>SUMIF(第4节!$A$3:$A$313,A16,第4节!T$3:T$313)</f>
        <v/>
      </c>
      <c r="Z22" s="25">
        <f>X16+Y16</f>
        <v/>
      </c>
      <c r="AA22" s="25">
        <f>SUMIF(第4节!$A$3:$A$313,A16,第4节!V$3:V$313)</f>
        <v/>
      </c>
      <c r="AB22" s="25">
        <f>SUMIF(第4节!$A$3:$A$313,A16,第4节!W$3:W$313)</f>
        <v/>
      </c>
      <c r="AC22" s="25">
        <f>SUMIF(第4节!$A$3:$A$313,A16,第4节!X$3:X$313)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COUNTIF(第4节!$A$3:$A$313,A17)</f>
        <v/>
      </c>
      <c r="C23" s="24">
        <f>SUMIF(第4节!$A$3:$A$313,A17,第4节!$C$3:$C$313)-SUMIF(第4节!$A$3:$A$313,A17,第4节!$B$3:$B$313)</f>
        <v/>
      </c>
      <c r="D23" s="25">
        <f>SUMIF(第4节!$A$3:$A$313,A17,第4节!D$3:D$313)</f>
        <v/>
      </c>
      <c r="E23" s="25">
        <f>SUMIF(第4节!$A$3:$A$313,A17,第4节!E$3:E$313)</f>
        <v/>
      </c>
      <c r="F23" s="25">
        <f>SUMIF(第4节!$A$3:$A$313,A17,第4节!F$3:F$313)</f>
        <v/>
      </c>
      <c r="G23" s="46">
        <f>IF(D17=0,0,ROUND(F17/(D17*2),3))</f>
        <v/>
      </c>
      <c r="H23" s="25">
        <f>SUMIF(第4节!$A$3:$A$313,A17,第4节!G$3:G$313)</f>
        <v/>
      </c>
      <c r="I23" s="25">
        <f>SUMIF(第4节!$A$3:$A$313,A17,第4节!H$3:H$313)</f>
        <v/>
      </c>
      <c r="J23" s="25">
        <f>SUMIF(第4节!$A$3:$A$313,A17,第4节!I$3:I$313)</f>
        <v/>
      </c>
      <c r="K23" s="46">
        <f>IF(H17=0,0,ROUND(J17/(H17*2),3))</f>
        <v/>
      </c>
      <c r="L23" s="25">
        <f>SUMIF(第4节!$A$3:$A$313,A17,第4节!J$3:J$313)</f>
        <v/>
      </c>
      <c r="M23" s="25">
        <f>SUMIF(第4节!$A$3:$A$313,A17,第4节!K$3:K$313)</f>
        <v/>
      </c>
      <c r="N23" s="25">
        <f>SUMIF(第4节!$A$3:$A$313,A17,第4节!L$3:L$313)</f>
        <v/>
      </c>
      <c r="O23" s="46">
        <f>IF(L17=0,0,ROUND(N17/(L17*3),3))</f>
        <v/>
      </c>
      <c r="P23" s="25">
        <f>SUMIF(第4节!$A$3:$A$313,A17,第4节!M$3:M$313)</f>
        <v/>
      </c>
      <c r="Q23" s="25">
        <f>SUMIF(第4节!$A$3:$A$313,A17,第4节!N$3:N$313)</f>
        <v/>
      </c>
      <c r="R23" s="25">
        <f>SUMIF(第4节!$A$3:$A$313,A17,第4节!O$3:O$313)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SUMIF(第4节!$A$3:$A$313,A17,第4节!S$3:S$313)</f>
        <v/>
      </c>
      <c r="Y23" s="25">
        <f>SUMIF(第4节!$A$3:$A$313,A17,第4节!T$3:T$313)</f>
        <v/>
      </c>
      <c r="Z23" s="25">
        <f>X17+Y17</f>
        <v/>
      </c>
      <c r="AA23" s="25">
        <f>SUMIF(第4节!$A$3:$A$313,A17,第4节!V$3:V$313)</f>
        <v/>
      </c>
      <c r="AB23" s="25">
        <f>SUMIF(第4节!$A$3:$A$313,A17,第4节!W$3:W$313)</f>
        <v/>
      </c>
      <c r="AC23" s="25">
        <f>SUMIF(第4节!$A$3:$A$313,A17,第4节!X$3:X$313)</f>
        <v/>
      </c>
      <c r="AD23" s="27" t="n"/>
    </row>
    <row r="24">
      <c r="A24" s="23" t="inlineStr">
        <is>
          <t>B队球员8</t>
        </is>
      </c>
      <c r="B24" s="23">
        <f>COUNTIF(第4节!$A$3:$A$313,A17)</f>
        <v/>
      </c>
      <c r="C24" s="24">
        <f>SUMIF(第4节!$A$3:$A$313,A17,第4节!$C$3:$C$313)-SUMIF(第4节!$A$3:$A$313,A17,第4节!$B$3:$B$313)</f>
        <v/>
      </c>
      <c r="D24" s="25">
        <f>SUMIF(第4节!$A$3:$A$313,A17,第4节!D$3:D$313)</f>
        <v/>
      </c>
      <c r="E24" s="25">
        <f>SUMIF(第4节!$A$3:$A$313,A17,第4节!E$3:E$313)</f>
        <v/>
      </c>
      <c r="F24" s="25">
        <f>SUMIF(第4节!$A$3:$A$313,A17,第4节!F$3:F$313)</f>
        <v/>
      </c>
      <c r="G24" s="46">
        <f>IF(D17=0,0,ROUND(F17/(D17*2),3))</f>
        <v/>
      </c>
      <c r="H24" s="25">
        <f>SUMIF(第4节!$A$3:$A$313,A17,第4节!G$3:G$313)</f>
        <v/>
      </c>
      <c r="I24" s="25">
        <f>SUMIF(第4节!$A$3:$A$313,A17,第4节!H$3:H$313)</f>
        <v/>
      </c>
      <c r="J24" s="25">
        <f>SUMIF(第4节!$A$3:$A$313,A17,第4节!I$3:I$313)</f>
        <v/>
      </c>
      <c r="K24" s="46">
        <f>IF(H17=0,0,ROUND(J17/(H17*2),3))</f>
        <v/>
      </c>
      <c r="L24" s="25">
        <f>SUMIF(第4节!$A$3:$A$313,A17,第4节!J$3:J$313)</f>
        <v/>
      </c>
      <c r="M24" s="25">
        <f>SUMIF(第4节!$A$3:$A$313,A17,第4节!K$3:K$313)</f>
        <v/>
      </c>
      <c r="N24" s="25">
        <f>SUMIF(第4节!$A$3:$A$313,A17,第4节!L$3:L$313)</f>
        <v/>
      </c>
      <c r="O24" s="46">
        <f>IF(L17=0,0,ROUND(N17/(L17*3),3))</f>
        <v/>
      </c>
      <c r="P24" s="25">
        <f>SUMIF(第4节!$A$3:$A$313,A17,第4节!M$3:M$313)</f>
        <v/>
      </c>
      <c r="Q24" s="25">
        <f>SUMIF(第4节!$A$3:$A$313,A17,第4节!N$3:N$313)</f>
        <v/>
      </c>
      <c r="R24" s="25">
        <f>SUMIF(第4节!$A$3:$A$313,A17,第4节!O$3:O$313)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SUMIF(第4节!$A$3:$A$313,A17,第4节!S$3:S$313)</f>
        <v/>
      </c>
      <c r="Y24" s="25">
        <f>SUMIF(第4节!$A$3:$A$313,A17,第4节!T$3:T$313)</f>
        <v/>
      </c>
      <c r="Z24" s="25">
        <f>X17+Y17</f>
        <v/>
      </c>
      <c r="AA24" s="25">
        <f>SUMIF(第4节!$A$3:$A$313,A17,第4节!V$3:V$313)</f>
        <v/>
      </c>
      <c r="AB24" s="25">
        <f>SUMIF(第4节!$A$3:$A$313,A17,第4节!W$3:W$313)</f>
        <v/>
      </c>
      <c r="AC24" s="25">
        <f>SUMIF(第4节!$A$3:$A$313,A17,第4节!X$3:X$313)</f>
        <v/>
      </c>
      <c r="AD24" s="27" t="n"/>
    </row>
    <row r="25">
      <c r="A25" s="23" t="inlineStr">
        <is>
          <t>B队球员9</t>
        </is>
      </c>
      <c r="B25" s="23">
        <f>COUNTIF(第4节!$A$3:$A$313,A17)</f>
        <v/>
      </c>
      <c r="C25" s="24">
        <f>SUMIF(第4节!$A$3:$A$313,A17,第4节!$C$3:$C$313)-SUMIF(第4节!$A$3:$A$313,A17,第4节!$B$3:$B$313)</f>
        <v/>
      </c>
      <c r="D25" s="25">
        <f>SUMIF(第4节!$A$3:$A$313,A17,第4节!D$3:D$313)</f>
        <v/>
      </c>
      <c r="E25" s="25">
        <f>SUMIF(第4节!$A$3:$A$313,A17,第4节!E$3:E$313)</f>
        <v/>
      </c>
      <c r="F25" s="25">
        <f>SUMIF(第4节!$A$3:$A$313,A17,第4节!F$3:F$313)</f>
        <v/>
      </c>
      <c r="G25" s="46">
        <f>IF(D17=0,0,ROUND(F17/(D17*2),3))</f>
        <v/>
      </c>
      <c r="H25" s="25">
        <f>SUMIF(第4节!$A$3:$A$313,A17,第4节!G$3:G$313)</f>
        <v/>
      </c>
      <c r="I25" s="25">
        <f>SUMIF(第4节!$A$3:$A$313,A17,第4节!H$3:H$313)</f>
        <v/>
      </c>
      <c r="J25" s="25">
        <f>SUMIF(第4节!$A$3:$A$313,A17,第4节!I$3:I$313)</f>
        <v/>
      </c>
      <c r="K25" s="46">
        <f>IF(H17=0,0,ROUND(J17/(H17*2),3))</f>
        <v/>
      </c>
      <c r="L25" s="25">
        <f>SUMIF(第4节!$A$3:$A$313,A17,第4节!J$3:J$313)</f>
        <v/>
      </c>
      <c r="M25" s="25">
        <f>SUMIF(第4节!$A$3:$A$313,A17,第4节!K$3:K$313)</f>
        <v/>
      </c>
      <c r="N25" s="25">
        <f>SUMIF(第4节!$A$3:$A$313,A17,第4节!L$3:L$313)</f>
        <v/>
      </c>
      <c r="O25" s="46">
        <f>IF(L17=0,0,ROUND(N17/(L17*3),3))</f>
        <v/>
      </c>
      <c r="P25" s="25">
        <f>SUMIF(第4节!$A$3:$A$313,A17,第4节!M$3:M$313)</f>
        <v/>
      </c>
      <c r="Q25" s="25">
        <f>SUMIF(第4节!$A$3:$A$313,A17,第4节!N$3:N$313)</f>
        <v/>
      </c>
      <c r="R25" s="25">
        <f>SUMIF(第4节!$A$3:$A$313,A17,第4节!O$3:O$313)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SUMIF(第4节!$A$3:$A$313,A17,第4节!S$3:S$313)</f>
        <v/>
      </c>
      <c r="Y25" s="25">
        <f>SUMIF(第4节!$A$3:$A$313,A17,第4节!T$3:T$313)</f>
        <v/>
      </c>
      <c r="Z25" s="25">
        <f>X17+Y17</f>
        <v/>
      </c>
      <c r="AA25" s="25">
        <f>SUMIF(第4节!$A$3:$A$313,A17,第4节!V$3:V$313)</f>
        <v/>
      </c>
      <c r="AB25" s="25">
        <f>SUMIF(第4节!$A$3:$A$313,A17,第4节!W$3:W$313)</f>
        <v/>
      </c>
      <c r="AC25" s="25">
        <f>SUMIF(第4节!$A$3:$A$313,A17,第4节!X$3:X$313)</f>
        <v/>
      </c>
      <c r="AD25" s="27" t="n"/>
    </row>
    <row r="26">
      <c r="A26" s="23" t="inlineStr">
        <is>
          <t>B队球员10</t>
        </is>
      </c>
      <c r="B26" s="23">
        <f>COUNTIF(第4节!$A$3:$A$313,A17)</f>
        <v/>
      </c>
      <c r="C26" s="24">
        <f>SUMIF(第4节!$A$3:$A$313,A17,第4节!$C$3:$C$313)-SUMIF(第4节!$A$3:$A$313,A17,第4节!$B$3:$B$313)</f>
        <v/>
      </c>
      <c r="D26" s="25">
        <f>SUMIF(第4节!$A$3:$A$313,A17,第4节!D$3:D$313)</f>
        <v/>
      </c>
      <c r="E26" s="25">
        <f>SUMIF(第4节!$A$3:$A$313,A17,第4节!E$3:E$313)</f>
        <v/>
      </c>
      <c r="F26" s="25">
        <f>SUMIF(第4节!$A$3:$A$313,A17,第4节!F$3:F$313)</f>
        <v/>
      </c>
      <c r="G26" s="46">
        <f>IF(D17=0,0,ROUND(F17/(D17*2),3))</f>
        <v/>
      </c>
      <c r="H26" s="25">
        <f>SUMIF(第4节!$A$3:$A$313,A17,第4节!G$3:G$313)</f>
        <v/>
      </c>
      <c r="I26" s="25">
        <f>SUMIF(第4节!$A$3:$A$313,A17,第4节!H$3:H$313)</f>
        <v/>
      </c>
      <c r="J26" s="25">
        <f>SUMIF(第4节!$A$3:$A$313,A17,第4节!I$3:I$313)</f>
        <v/>
      </c>
      <c r="K26" s="46">
        <f>IF(H17=0,0,ROUND(J17/(H17*2),3))</f>
        <v/>
      </c>
      <c r="L26" s="25">
        <f>SUMIF(第4节!$A$3:$A$313,A17,第4节!J$3:J$313)</f>
        <v/>
      </c>
      <c r="M26" s="25">
        <f>SUMIF(第4节!$A$3:$A$313,A17,第4节!K$3:K$313)</f>
        <v/>
      </c>
      <c r="N26" s="25">
        <f>SUMIF(第4节!$A$3:$A$313,A17,第4节!L$3:L$313)</f>
        <v/>
      </c>
      <c r="O26" s="46">
        <f>IF(L17=0,0,ROUND(N17/(L17*3),3))</f>
        <v/>
      </c>
      <c r="P26" s="25">
        <f>SUMIF(第4节!$A$3:$A$313,A17,第4节!M$3:M$313)</f>
        <v/>
      </c>
      <c r="Q26" s="25">
        <f>SUMIF(第4节!$A$3:$A$313,A17,第4节!N$3:N$313)</f>
        <v/>
      </c>
      <c r="R26" s="25">
        <f>SUMIF(第4节!$A$3:$A$313,A17,第4节!O$3:O$313)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SUMIF(第4节!$A$3:$A$313,A17,第4节!S$3:S$313)</f>
        <v/>
      </c>
      <c r="Y26" s="25">
        <f>SUMIF(第4节!$A$3:$A$313,A17,第4节!T$3:T$313)</f>
        <v/>
      </c>
      <c r="Z26" s="25">
        <f>X17+Y17</f>
        <v/>
      </c>
      <c r="AA26" s="25">
        <f>SUMIF(第4节!$A$3:$A$313,A17,第4节!V$3:V$313)</f>
        <v/>
      </c>
      <c r="AB26" s="25">
        <f>SUMIF(第4节!$A$3:$A$313,A17,第4节!W$3:W$313)</f>
        <v/>
      </c>
      <c r="AC26" s="25">
        <f>SUMIF(第4节!$A$3:$A$313,A17,第4节!X$3:X$313)</f>
        <v/>
      </c>
      <c r="AD26" s="27" t="n"/>
    </row>
    <row r="27">
      <c r="A27" s="23" t="inlineStr">
        <is>
          <t>B队球员11</t>
        </is>
      </c>
      <c r="B27" s="23">
        <f>COUNTIF(第4节!$A$3:$A$313,A17)</f>
        <v/>
      </c>
      <c r="C27" s="24">
        <f>SUMIF(第4节!$A$3:$A$313,A17,第4节!$C$3:$C$313)-SUMIF(第4节!$A$3:$A$313,A17,第4节!$B$3:$B$313)</f>
        <v/>
      </c>
      <c r="D27" s="25">
        <f>SUMIF(第4节!$A$3:$A$313,A17,第4节!D$3:D$313)</f>
        <v/>
      </c>
      <c r="E27" s="25">
        <f>SUMIF(第4节!$A$3:$A$313,A17,第4节!E$3:E$313)</f>
        <v/>
      </c>
      <c r="F27" s="25">
        <f>SUMIF(第4节!$A$3:$A$313,A17,第4节!F$3:F$313)</f>
        <v/>
      </c>
      <c r="G27" s="46">
        <f>IF(D17=0,0,ROUND(F17/(D17*2),3))</f>
        <v/>
      </c>
      <c r="H27" s="25">
        <f>SUMIF(第4节!$A$3:$A$313,A17,第4节!G$3:G$313)</f>
        <v/>
      </c>
      <c r="I27" s="25">
        <f>SUMIF(第4节!$A$3:$A$313,A17,第4节!H$3:H$313)</f>
        <v/>
      </c>
      <c r="J27" s="25">
        <f>SUMIF(第4节!$A$3:$A$313,A17,第4节!I$3:I$313)</f>
        <v/>
      </c>
      <c r="K27" s="46">
        <f>IF(H17=0,0,ROUND(J17/(H17*2),3))</f>
        <v/>
      </c>
      <c r="L27" s="25">
        <f>SUMIF(第4节!$A$3:$A$313,A17,第4节!J$3:J$313)</f>
        <v/>
      </c>
      <c r="M27" s="25">
        <f>SUMIF(第4节!$A$3:$A$313,A17,第4节!K$3:K$313)</f>
        <v/>
      </c>
      <c r="N27" s="25">
        <f>SUMIF(第4节!$A$3:$A$313,A17,第4节!L$3:L$313)</f>
        <v/>
      </c>
      <c r="O27" s="46">
        <f>IF(L17=0,0,ROUND(N17/(L17*3),3))</f>
        <v/>
      </c>
      <c r="P27" s="25">
        <f>SUMIF(第4节!$A$3:$A$313,A17,第4节!M$3:M$313)</f>
        <v/>
      </c>
      <c r="Q27" s="25">
        <f>SUMIF(第4节!$A$3:$A$313,A17,第4节!N$3:N$313)</f>
        <v/>
      </c>
      <c r="R27" s="25">
        <f>SUMIF(第4节!$A$3:$A$313,A17,第4节!O$3:O$313)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SUMIF(第4节!$A$3:$A$313,A17,第4节!S$3:S$313)</f>
        <v/>
      </c>
      <c r="Y27" s="25">
        <f>SUMIF(第4节!$A$3:$A$313,A17,第4节!T$3:T$313)</f>
        <v/>
      </c>
      <c r="Z27" s="25">
        <f>X17+Y17</f>
        <v/>
      </c>
      <c r="AA27" s="25">
        <f>SUMIF(第4节!$A$3:$A$313,A17,第4节!V$3:V$313)</f>
        <v/>
      </c>
      <c r="AB27" s="25">
        <f>SUMIF(第4节!$A$3:$A$313,A17,第4节!W$3:W$313)</f>
        <v/>
      </c>
      <c r="AC27" s="25">
        <f>SUMIF(第4节!$A$3:$A$313,A17,第4节!X$3:X$313)</f>
        <v/>
      </c>
      <c r="AD27" s="27" t="n"/>
    </row>
    <row r="28">
      <c r="A28" s="23" t="inlineStr">
        <is>
          <t>B队球员12</t>
        </is>
      </c>
      <c r="B28" s="23">
        <f>COUNTIF(第4节!$A$3:$A$313,A17)</f>
        <v/>
      </c>
      <c r="C28" s="24">
        <f>SUMIF(第4节!$A$3:$A$313,A17,第4节!$C$3:$C$313)-SUMIF(第4节!$A$3:$A$313,A17,第4节!$B$3:$B$313)</f>
        <v/>
      </c>
      <c r="D28" s="25">
        <f>SUMIF(第4节!$A$3:$A$313,A17,第4节!D$3:D$313)</f>
        <v/>
      </c>
      <c r="E28" s="25">
        <f>SUMIF(第4节!$A$3:$A$313,A17,第4节!E$3:E$313)</f>
        <v/>
      </c>
      <c r="F28" s="25">
        <f>SUMIF(第4节!$A$3:$A$313,A17,第4节!F$3:F$313)</f>
        <v/>
      </c>
      <c r="G28" s="46">
        <f>IF(D17=0,0,ROUND(F17/(D17*2),3))</f>
        <v/>
      </c>
      <c r="H28" s="25">
        <f>SUMIF(第4节!$A$3:$A$313,A17,第4节!G$3:G$313)</f>
        <v/>
      </c>
      <c r="I28" s="25">
        <f>SUMIF(第4节!$A$3:$A$313,A17,第4节!H$3:H$313)</f>
        <v/>
      </c>
      <c r="J28" s="25">
        <f>SUMIF(第4节!$A$3:$A$313,A17,第4节!I$3:I$313)</f>
        <v/>
      </c>
      <c r="K28" s="46">
        <f>IF(H17=0,0,ROUND(J17/(H17*2),3))</f>
        <v/>
      </c>
      <c r="L28" s="25">
        <f>SUMIF(第4节!$A$3:$A$313,A17,第4节!J$3:J$313)</f>
        <v/>
      </c>
      <c r="M28" s="25">
        <f>SUMIF(第4节!$A$3:$A$313,A17,第4节!K$3:K$313)</f>
        <v/>
      </c>
      <c r="N28" s="25">
        <f>SUMIF(第4节!$A$3:$A$313,A17,第4节!L$3:L$313)</f>
        <v/>
      </c>
      <c r="O28" s="46">
        <f>IF(L17=0,0,ROUND(N17/(L17*3),3))</f>
        <v/>
      </c>
      <c r="P28" s="25">
        <f>SUMIF(第4节!$A$3:$A$313,A17,第4节!M$3:M$313)</f>
        <v/>
      </c>
      <c r="Q28" s="25">
        <f>SUMIF(第4节!$A$3:$A$313,A17,第4节!N$3:N$313)</f>
        <v/>
      </c>
      <c r="R28" s="25">
        <f>SUMIF(第4节!$A$3:$A$313,A17,第4节!O$3:O$313)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SUMIF(第4节!$A$3:$A$313,A17,第4节!S$3:S$313)</f>
        <v/>
      </c>
      <c r="Y28" s="25">
        <f>SUMIF(第4节!$A$3:$A$313,A17,第4节!T$3:T$313)</f>
        <v/>
      </c>
      <c r="Z28" s="25">
        <f>X17+Y17</f>
        <v/>
      </c>
      <c r="AA28" s="25">
        <f>SUMIF(第4节!$A$3:$A$313,A17,第4节!V$3:V$313)</f>
        <v/>
      </c>
      <c r="AB28" s="25">
        <f>SUMIF(第4节!$A$3:$A$313,A17,第4节!W$3:W$313)</f>
        <v/>
      </c>
      <c r="AC28" s="25">
        <f>SUMIF(第4节!$A$3:$A$313,A17,第4节!X$3:X$313)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SUMPRODUCT(COUNTIF($A$4:$A$9,第5节!$A$3:$A$313))</f>
        <v/>
      </c>
      <c r="C3" s="10">
        <f>SUMPRODUCT(COUNTIF($A$4:$A$9,第5节!$A$3:$A$313),第5节!$C$3:$C$313)-SUMPRODUCT(COUNTIF($A$4:$A$9,第5节!$A$3:$A$313),第5节!$B$3:$B$313)</f>
        <v/>
      </c>
      <c r="D3" s="11">
        <f>SUMPRODUCT(COUNTIF($A$4:$A$9,第5节!$A$3:$A$313),第5节!D$3:D$313)</f>
        <v/>
      </c>
      <c r="E3" s="11">
        <f>SUMPRODUCT(COUNTIF($A$4:$A$9,第5节!$A$3:$A$313),第5节!E$3:E$313)</f>
        <v/>
      </c>
      <c r="F3" s="11">
        <f>SUMPRODUCT(COUNTIF($A$4:$A$9,第5节!$A$3:$A$313),第5节!F$3:F$313)</f>
        <v/>
      </c>
      <c r="G3" s="43">
        <f>IF(D3=0,0,ROUND(F3/(D3*2),3))</f>
        <v/>
      </c>
      <c r="H3" s="11">
        <f>SUMPRODUCT(COUNTIF($A$4:$A$9,第5节!$A$3:$A$313),第5节!G$3:G$313)</f>
        <v/>
      </c>
      <c r="I3" s="11">
        <f>SUMPRODUCT(COUNTIF($A$4:$A$9,第5节!$A$3:$A$313),第5节!H$3:H$313)</f>
        <v/>
      </c>
      <c r="J3" s="11">
        <f>SUMPRODUCT(COUNTIF($A$4:$A$9,第5节!$A$3:$A$313),第5节!I$3:I$313)</f>
        <v/>
      </c>
      <c r="K3" s="43">
        <f>IF(H3=0,0,ROUND(J3/(H3*2),3))</f>
        <v/>
      </c>
      <c r="L3" s="11">
        <f>SUMPRODUCT(COUNTIF($A$4:$A$9,第5节!$A$3:$A$313),第5节!J$3:J$313)</f>
        <v/>
      </c>
      <c r="M3" s="11">
        <f>SUMPRODUCT(COUNTIF($A$4:$A$9,第5节!$A$3:$A$313),第5节!K$3:K$313)</f>
        <v/>
      </c>
      <c r="N3" s="11">
        <f>SUMPRODUCT(COUNTIF($A$4:$A$9,第5节!$A$3:$A$313),第5节!L$3:L$313)</f>
        <v/>
      </c>
      <c r="O3" s="43">
        <f>IF(L3=0,0,ROUND(N3/(L3*3),3))</f>
        <v/>
      </c>
      <c r="P3" s="11">
        <f>SUMPRODUCT(COUNTIF($A$4:$A$9,第5节!$A$3:$A$313),第5节!M$3:M$313)</f>
        <v/>
      </c>
      <c r="Q3" s="11">
        <f>SUMPRODUCT(COUNTIF($A$4:$A$9,第5节!$A$3:$A$313),第5节!N$3:N$313)</f>
        <v/>
      </c>
      <c r="R3" s="11">
        <f>SUMPRODUCT(COUNTIF($A$4:$A$9,第5节!$A$3:$A$313),第5节!O$3:O$313)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SUMPRODUCT(COUNTIF($A$4:$A$9,第5节!$A$3:$A$313),第5节!S$3:S$313)</f>
        <v/>
      </c>
      <c r="Y3" s="11">
        <f>SUMPRODUCT(COUNTIF($A$4:$A$9,第5节!$A$3:$A$313),第5节!T$3:T$313)</f>
        <v/>
      </c>
      <c r="Z3" s="11">
        <f>X3+Y3</f>
        <v/>
      </c>
      <c r="AA3" s="11">
        <f>SUMPRODUCT(COUNTIF($A$4:$A$9,第5节!$A$3:$A$313),第5节!V$3:V$313)</f>
        <v/>
      </c>
      <c r="AB3" s="11">
        <f>SUMPRODUCT(COUNTIF($A$4:$A$9,第5节!$A$3:$A$313),第5节!W$3:W$313)</f>
        <v/>
      </c>
      <c r="AC3" s="11">
        <f>SUMPRODUCT(COUNTIF($A$4:$A$9,第5节!$A$3:$A$313),第5节!X$3:X$313)</f>
        <v/>
      </c>
      <c r="AD3" s="13" t="n"/>
    </row>
    <row r="4" ht="22.5" customHeight="1">
      <c r="A4" s="14" t="inlineStr">
        <is>
          <t>陈赞安</t>
        </is>
      </c>
      <c r="B4" s="14">
        <f>COUNTIF(第5节!$A$3:$A$313,A4)</f>
        <v/>
      </c>
      <c r="C4" s="15">
        <f>SUMIF(第5节!$A$3:$A$313,A4,第5节!$C$3:$C$313)-SUMIF(第5节!$A$3:$A$313,A4,第5节!$B$3:$B$313)</f>
        <v/>
      </c>
      <c r="D4" s="16">
        <f>SUMIF(第5节!$A$3:$A$313,A4,第5节!D$3:D$313)</f>
        <v/>
      </c>
      <c r="E4" s="16">
        <f>SUMIF(第5节!$A$3:$A$313,A4,第5节!E$3:E$313)</f>
        <v/>
      </c>
      <c r="F4" s="16">
        <f>SUMIF(第5节!$A$3:$A$313,A4,第5节!F$3:F$313)</f>
        <v/>
      </c>
      <c r="G4" s="44">
        <f>IF(D4=0,0,ROUND(F4/(D4*2),3))</f>
        <v/>
      </c>
      <c r="H4" s="16">
        <f>SUMIF(第5节!$A$3:$A$313,A4,第5节!G$3:G$313)</f>
        <v/>
      </c>
      <c r="I4" s="16">
        <f>SUMIF(第5节!$A$3:$A$313,A4,第5节!H$3:H$313)</f>
        <v/>
      </c>
      <c r="J4" s="16">
        <f>SUMIF(第5节!$A$3:$A$313,A4,第5节!I$3:I$313)</f>
        <v/>
      </c>
      <c r="K4" s="44">
        <f>IF(H4=0,0,ROUND(J4/(H4*2),3))</f>
        <v/>
      </c>
      <c r="L4" s="16">
        <f>SUMIF(第5节!$A$3:$A$313,A4,第5节!J$3:J$313)</f>
        <v/>
      </c>
      <c r="M4" s="16">
        <f>SUMIF(第5节!$A$3:$A$313,A4,第5节!K$3:K$313)</f>
        <v/>
      </c>
      <c r="N4" s="16">
        <f>SUMIF(第5节!$A$3:$A$313,A4,第5节!L$3:L$313)</f>
        <v/>
      </c>
      <c r="O4" s="44">
        <f>IF(L4=0,0,ROUND(N4/(L4*3),3))</f>
        <v/>
      </c>
      <c r="P4" s="16">
        <f>SUMIF(第5节!$A$3:$A$313,A4,第5节!M$3:M$313)</f>
        <v/>
      </c>
      <c r="Q4" s="16">
        <f>SUMIF(第5节!$A$3:$A$313,A4,第5节!N$3:N$313)</f>
        <v/>
      </c>
      <c r="R4" s="16">
        <f>SUMIF(第5节!$A$3:$A$313,A4,第5节!O$3:O$313)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SUMIF(第5节!$A$3:$A$313,A4,第5节!S$3:S$313)</f>
        <v/>
      </c>
      <c r="Y4" s="16">
        <f>SUMIF(第5节!$A$3:$A$313,A4,第5节!T$3:T$313)</f>
        <v/>
      </c>
      <c r="Z4" s="16">
        <f>X4+Y4</f>
        <v/>
      </c>
      <c r="AA4" s="16">
        <f>SUMIF(第5节!$A$3:$A$313,A4,第5节!V$3:V$313)</f>
        <v/>
      </c>
      <c r="AB4" s="16">
        <f>SUMIF(第5节!$A$3:$A$313,A4,第5节!W$3:W$313)</f>
        <v/>
      </c>
      <c r="AC4" s="16">
        <f>SUMIF(第5节!$A$3:$A$313,A4,第5节!X$3:X$313)</f>
        <v/>
      </c>
      <c r="AD4" s="18" t="n"/>
    </row>
    <row r="5" ht="22.5" customHeight="1">
      <c r="A5" s="14" t="inlineStr">
        <is>
          <t>张绪然</t>
        </is>
      </c>
      <c r="B5" s="14">
        <f>COUNTIF(第5节!$A$3:$A$313,A5)</f>
        <v/>
      </c>
      <c r="C5" s="15">
        <f>SUMIF(第5节!$A$3:$A$313,A5,第5节!$C$3:$C$313)-SUMIF(第5节!$A$3:$A$313,A5,第5节!$B$3:$B$313)</f>
        <v/>
      </c>
      <c r="D5" s="16">
        <f>SUMIF(第5节!$A$3:$A$313,A5,第5节!D$3:D$313)</f>
        <v/>
      </c>
      <c r="E5" s="16">
        <f>SUMIF(第5节!$A$3:$A$313,A5,第5节!E$3:E$313)</f>
        <v/>
      </c>
      <c r="F5" s="16">
        <f>SUMIF(第5节!$A$3:$A$313,A5,第5节!F$3:F$313)</f>
        <v/>
      </c>
      <c r="G5" s="44">
        <f>IF(D5=0,0,ROUND(F5/(D5*2),3))</f>
        <v/>
      </c>
      <c r="H5" s="16">
        <f>SUMIF(第5节!$A$3:$A$313,A5,第5节!G$3:G$313)</f>
        <v/>
      </c>
      <c r="I5" s="16">
        <f>SUMIF(第5节!$A$3:$A$313,A5,第5节!H$3:H$313)</f>
        <v/>
      </c>
      <c r="J5" s="16">
        <f>SUMIF(第5节!$A$3:$A$313,A5,第5节!I$3:I$313)</f>
        <v/>
      </c>
      <c r="K5" s="44">
        <f>IF(H5=0,0,ROUND(J5/(H5*2),3))</f>
        <v/>
      </c>
      <c r="L5" s="16">
        <f>SUMIF(第5节!$A$3:$A$313,A5,第5节!J$3:J$313)</f>
        <v/>
      </c>
      <c r="M5" s="16">
        <f>SUMIF(第5节!$A$3:$A$313,A5,第5节!K$3:K$313)</f>
        <v/>
      </c>
      <c r="N5" s="16">
        <f>SUMIF(第5节!$A$3:$A$313,A5,第5节!L$3:L$313)</f>
        <v/>
      </c>
      <c r="O5" s="44">
        <f>IF(L5=0,0,ROUND(N5/(L5*3),3))</f>
        <v/>
      </c>
      <c r="P5" s="16">
        <f>SUMIF(第5节!$A$3:$A$313,A5,第5节!M$3:M$313)</f>
        <v/>
      </c>
      <c r="Q5" s="16">
        <f>SUMIF(第5节!$A$3:$A$313,A5,第5节!N$3:N$313)</f>
        <v/>
      </c>
      <c r="R5" s="16">
        <f>SUMIF(第5节!$A$3:$A$313,A5,第5节!O$3:O$313)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SUMIF(第5节!$A$3:$A$313,A5,第5节!S$3:S$313)</f>
        <v/>
      </c>
      <c r="Y5" s="16">
        <f>SUMIF(第5节!$A$3:$A$313,A5,第5节!T$3:T$313)</f>
        <v/>
      </c>
      <c r="Z5" s="16">
        <f>X5+Y5</f>
        <v/>
      </c>
      <c r="AA5" s="16">
        <f>SUMIF(第5节!$A$3:$A$313,A5,第5节!V$3:V$313)</f>
        <v/>
      </c>
      <c r="AB5" s="16">
        <f>SUMIF(第5节!$A$3:$A$313,A5,第5节!W$3:W$313)</f>
        <v/>
      </c>
      <c r="AC5" s="16">
        <f>SUMIF(第5节!$A$3:$A$313,A5,第5节!X$3:X$313)</f>
        <v/>
      </c>
      <c r="AD5" s="18" t="n"/>
    </row>
    <row r="6" ht="22.5" customHeight="1">
      <c r="A6" s="14" t="inlineStr">
        <is>
          <t>雷奕梵</t>
        </is>
      </c>
      <c r="B6" s="14">
        <f>COUNTIF(第5节!$A$3:$A$313,A6)</f>
        <v/>
      </c>
      <c r="C6" s="15">
        <f>SUMIF(第5节!$A$3:$A$313,A6,第5节!$C$3:$C$313)-SUMIF(第5节!$A$3:$A$313,A6,第5节!$B$3:$B$313)</f>
        <v/>
      </c>
      <c r="D6" s="16">
        <f>SUMIF(第5节!$A$3:$A$313,A6,第5节!D$3:D$313)</f>
        <v/>
      </c>
      <c r="E6" s="16">
        <f>SUMIF(第5节!$A$3:$A$313,A6,第5节!E$3:E$313)</f>
        <v/>
      </c>
      <c r="F6" s="16">
        <f>SUMIF(第5节!$A$3:$A$313,A6,第5节!F$3:F$313)</f>
        <v/>
      </c>
      <c r="G6" s="44">
        <f>IF(D6=0,0,ROUND(F6/(D6*2),3))</f>
        <v/>
      </c>
      <c r="H6" s="16">
        <f>SUMIF(第5节!$A$3:$A$313,A6,第5节!G$3:G$313)</f>
        <v/>
      </c>
      <c r="I6" s="16">
        <f>SUMIF(第5节!$A$3:$A$313,A6,第5节!H$3:H$313)</f>
        <v/>
      </c>
      <c r="J6" s="16">
        <f>SUMIF(第5节!$A$3:$A$313,A6,第5节!I$3:I$313)</f>
        <v/>
      </c>
      <c r="K6" s="44">
        <f>IF(H6=0,0,ROUND(J6/(H6*2),3))</f>
        <v/>
      </c>
      <c r="L6" s="16">
        <f>SUMIF(第5节!$A$3:$A$313,A6,第5节!J$3:J$313)</f>
        <v/>
      </c>
      <c r="M6" s="16">
        <f>SUMIF(第5节!$A$3:$A$313,A6,第5节!K$3:K$313)</f>
        <v/>
      </c>
      <c r="N6" s="16">
        <f>SUMIF(第5节!$A$3:$A$313,A6,第5节!L$3:L$313)</f>
        <v/>
      </c>
      <c r="O6" s="44">
        <f>IF(L6=0,0,ROUND(N6/(L6*3),3))</f>
        <v/>
      </c>
      <c r="P6" s="16">
        <f>SUMIF(第5节!$A$3:$A$313,A6,第5节!M$3:M$313)</f>
        <v/>
      </c>
      <c r="Q6" s="16">
        <f>SUMIF(第5节!$A$3:$A$313,A6,第5节!N$3:N$313)</f>
        <v/>
      </c>
      <c r="R6" s="16">
        <f>SUMIF(第5节!$A$3:$A$313,A6,第5节!O$3:O$313)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SUMIF(第5节!$A$3:$A$313,A6,第5节!S$3:S$313)</f>
        <v/>
      </c>
      <c r="Y6" s="16">
        <f>SUMIF(第5节!$A$3:$A$313,A6,第5节!T$3:T$313)</f>
        <v/>
      </c>
      <c r="Z6" s="16">
        <f>X6+Y6</f>
        <v/>
      </c>
      <c r="AA6" s="16">
        <f>SUMIF(第5节!$A$3:$A$313,A6,第5节!V$3:V$313)</f>
        <v/>
      </c>
      <c r="AB6" s="16">
        <f>SUMIF(第5节!$A$3:$A$313,A6,第5节!W$3:W$313)</f>
        <v/>
      </c>
      <c r="AC6" s="16">
        <f>SUMIF(第5节!$A$3:$A$313,A6,第5节!X$3:X$313)</f>
        <v/>
      </c>
      <c r="AD6" s="18" t="n"/>
    </row>
    <row r="7" ht="22.5" customHeight="1">
      <c r="A7" s="14" t="inlineStr">
        <is>
          <t>洪浩哲</t>
        </is>
      </c>
      <c r="B7" s="14">
        <f>COUNTIF(第5节!$A$3:$A$313,A7)</f>
        <v/>
      </c>
      <c r="C7" s="15">
        <f>SUMIF(第5节!$A$3:$A$313,A7,第5节!$C$3:$C$313)-SUMIF(第5节!$A$3:$A$313,A7,第5节!$B$3:$B$313)</f>
        <v/>
      </c>
      <c r="D7" s="16">
        <f>SUMIF(第5节!$A$3:$A$313,A7,第5节!D$3:D$313)</f>
        <v/>
      </c>
      <c r="E7" s="16">
        <f>SUMIF(第5节!$A$3:$A$313,A7,第5节!E$3:E$313)</f>
        <v/>
      </c>
      <c r="F7" s="16">
        <f>SUMIF(第5节!$A$3:$A$313,A7,第5节!F$3:F$313)</f>
        <v/>
      </c>
      <c r="G7" s="44">
        <f>IF(D7=0,0,ROUND(F7/(D7*2),3))</f>
        <v/>
      </c>
      <c r="H7" s="16">
        <f>SUMIF(第5节!$A$3:$A$313,A7,第5节!G$3:G$313)</f>
        <v/>
      </c>
      <c r="I7" s="16">
        <f>SUMIF(第5节!$A$3:$A$313,A7,第5节!H$3:H$313)</f>
        <v/>
      </c>
      <c r="J7" s="16">
        <f>SUMIF(第5节!$A$3:$A$313,A7,第5节!I$3:I$313)</f>
        <v/>
      </c>
      <c r="K7" s="44">
        <f>IF(H7=0,0,ROUND(J7/(H7*2),3))</f>
        <v/>
      </c>
      <c r="L7" s="16">
        <f>SUMIF(第5节!$A$3:$A$313,A7,第5节!J$3:J$313)</f>
        <v/>
      </c>
      <c r="M7" s="16">
        <f>SUMIF(第5节!$A$3:$A$313,A7,第5节!K$3:K$313)</f>
        <v/>
      </c>
      <c r="N7" s="16">
        <f>SUMIF(第5节!$A$3:$A$313,A7,第5节!L$3:L$313)</f>
        <v/>
      </c>
      <c r="O7" s="44">
        <f>IF(L7=0,0,ROUND(N7/(L7*3),3))</f>
        <v/>
      </c>
      <c r="P7" s="16">
        <f>SUMIF(第5节!$A$3:$A$313,A7,第5节!M$3:M$313)</f>
        <v/>
      </c>
      <c r="Q7" s="16">
        <f>SUMIF(第5节!$A$3:$A$313,A7,第5节!N$3:N$313)</f>
        <v/>
      </c>
      <c r="R7" s="16">
        <f>SUMIF(第5节!$A$3:$A$313,A7,第5节!O$3:O$313)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SUMIF(第5节!$A$3:$A$313,A7,第5节!S$3:S$313)</f>
        <v/>
      </c>
      <c r="Y7" s="16">
        <f>SUMIF(第5节!$A$3:$A$313,A7,第5节!T$3:T$313)</f>
        <v/>
      </c>
      <c r="Z7" s="16">
        <f>X7+Y7</f>
        <v/>
      </c>
      <c r="AA7" s="16">
        <f>SUMIF(第5节!$A$3:$A$313,A7,第5节!V$3:V$313)</f>
        <v/>
      </c>
      <c r="AB7" s="16">
        <f>SUMIF(第5节!$A$3:$A$313,A7,第5节!W$3:W$313)</f>
        <v/>
      </c>
      <c r="AC7" s="16">
        <f>SUMIF(第5节!$A$3:$A$313,A7,第5节!X$3:X$313)</f>
        <v/>
      </c>
      <c r="AD7" s="18" t="n"/>
    </row>
    <row r="8" ht="22.5" customHeight="1">
      <c r="A8" s="14" t="inlineStr">
        <is>
          <t>刘炎昊</t>
        </is>
      </c>
      <c r="B8" s="14">
        <f>COUNTIF(第5节!$A$3:$A$313,A8)</f>
        <v/>
      </c>
      <c r="C8" s="15">
        <f>SUMIF(第5节!$A$3:$A$313,A8,第5节!$C$3:$C$313)-SUMIF(第5节!$A$3:$A$313,A8,第5节!$B$3:$B$313)</f>
        <v/>
      </c>
      <c r="D8" s="16">
        <f>SUMIF(第5节!$A$3:$A$313,A8,第5节!D$3:D$313)</f>
        <v/>
      </c>
      <c r="E8" s="16">
        <f>SUMIF(第5节!$A$3:$A$313,A8,第5节!E$3:E$313)</f>
        <v/>
      </c>
      <c r="F8" s="16">
        <f>SUMIF(第5节!$A$3:$A$313,A8,第5节!F$3:F$313)</f>
        <v/>
      </c>
      <c r="G8" s="44">
        <f>IF(D8=0,0,ROUND(F8/(D8*2),3))</f>
        <v/>
      </c>
      <c r="H8" s="16">
        <f>SUMIF(第5节!$A$3:$A$313,A8,第5节!G$3:G$313)</f>
        <v/>
      </c>
      <c r="I8" s="16">
        <f>SUMIF(第5节!$A$3:$A$313,A8,第5节!H$3:H$313)</f>
        <v/>
      </c>
      <c r="J8" s="16">
        <f>SUMIF(第5节!$A$3:$A$313,A8,第5节!I$3:I$313)</f>
        <v/>
      </c>
      <c r="K8" s="44">
        <f>IF(H8=0,0,ROUND(J8/(H8*2),3))</f>
        <v/>
      </c>
      <c r="L8" s="16">
        <f>SUMIF(第5节!$A$3:$A$313,A8,第5节!J$3:J$313)</f>
        <v/>
      </c>
      <c r="M8" s="16">
        <f>SUMIF(第5节!$A$3:$A$313,A8,第5节!K$3:K$313)</f>
        <v/>
      </c>
      <c r="N8" s="16">
        <f>SUMIF(第5节!$A$3:$A$313,A8,第5节!L$3:L$313)</f>
        <v/>
      </c>
      <c r="O8" s="44">
        <f>IF(L8=0,0,ROUND(N8/(L8*3),3))</f>
        <v/>
      </c>
      <c r="P8" s="16">
        <f>SUMIF(第5节!$A$3:$A$313,A8,第5节!M$3:M$313)</f>
        <v/>
      </c>
      <c r="Q8" s="16">
        <f>SUMIF(第5节!$A$3:$A$313,A8,第5节!N$3:N$313)</f>
        <v/>
      </c>
      <c r="R8" s="16">
        <f>SUMIF(第5节!$A$3:$A$313,A8,第5节!O$3:O$313)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SUMIF(第5节!$A$3:$A$313,A8,第5节!S$3:S$313)</f>
        <v/>
      </c>
      <c r="Y8" s="16">
        <f>SUMIF(第5节!$A$3:$A$313,A8,第5节!T$3:T$313)</f>
        <v/>
      </c>
      <c r="Z8" s="16">
        <f>X8+Y8</f>
        <v/>
      </c>
      <c r="AA8" s="16">
        <f>SUMIF(第5节!$A$3:$A$313,A8,第5节!V$3:V$313)</f>
        <v/>
      </c>
      <c r="AB8" s="16">
        <f>SUMIF(第5节!$A$3:$A$313,A8,第5节!W$3:W$313)</f>
        <v/>
      </c>
      <c r="AC8" s="16">
        <f>SUMIF(第5节!$A$3:$A$313,A8,第5节!X$3:X$313)</f>
        <v/>
      </c>
      <c r="AD8" s="18" t="n"/>
    </row>
    <row r="9" ht="22.5" customHeight="1">
      <c r="A9" s="14" t="inlineStr">
        <is>
          <t>施柏宇</t>
        </is>
      </c>
      <c r="B9" s="14">
        <f>COUNTIF(第5节!$A$3:$A$313,A9)</f>
        <v/>
      </c>
      <c r="C9" s="15">
        <f>SUMIF(第5节!$A$3:$A$313,A9,第5节!$C$3:$C$313)-SUMIF(第5节!$A$3:$A$313,A9,第5节!$B$3:$B$313)</f>
        <v/>
      </c>
      <c r="D9" s="16">
        <f>SUMIF(第5节!$A$3:$A$313,A9,第5节!D$3:D$313)</f>
        <v/>
      </c>
      <c r="E9" s="16">
        <f>SUMIF(第5节!$A$3:$A$313,A9,第5节!E$3:E$313)</f>
        <v/>
      </c>
      <c r="F9" s="16">
        <f>SUMIF(第5节!$A$3:$A$313,A9,第5节!F$3:F$313)</f>
        <v/>
      </c>
      <c r="G9" s="44">
        <f>IF(D9=0,0,ROUND(F9/(D9*2),3))</f>
        <v/>
      </c>
      <c r="H9" s="16">
        <f>SUMIF(第5节!$A$3:$A$313,A9,第5节!G$3:G$313)</f>
        <v/>
      </c>
      <c r="I9" s="16">
        <f>SUMIF(第5节!$A$3:$A$313,A9,第5节!H$3:H$313)</f>
        <v/>
      </c>
      <c r="J9" s="16">
        <f>SUMIF(第5节!$A$3:$A$313,A9,第5节!I$3:I$313)</f>
        <v/>
      </c>
      <c r="K9" s="44">
        <f>IF(H9=0,0,ROUND(J9/(H9*2),3))</f>
        <v/>
      </c>
      <c r="L9" s="16">
        <f>SUMIF(第5节!$A$3:$A$313,A9,第5节!J$3:J$313)</f>
        <v/>
      </c>
      <c r="M9" s="16">
        <f>SUMIF(第5节!$A$3:$A$313,A9,第5节!K$3:K$313)</f>
        <v/>
      </c>
      <c r="N9" s="16">
        <f>SUMIF(第5节!$A$3:$A$313,A9,第5节!L$3:L$313)</f>
        <v/>
      </c>
      <c r="O9" s="44">
        <f>IF(L9=0,0,ROUND(N9/(L9*3),3))</f>
        <v/>
      </c>
      <c r="P9" s="16">
        <f>SUMIF(第5节!$A$3:$A$313,A9,第5节!M$3:M$313)</f>
        <v/>
      </c>
      <c r="Q9" s="16">
        <f>SUMIF(第5节!$A$3:$A$313,A9,第5节!N$3:N$313)</f>
        <v/>
      </c>
      <c r="R9" s="16">
        <f>SUMIF(第5节!$A$3:$A$313,A9,第5节!O$3:O$313)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SUMIF(第5节!$A$3:$A$313,A9,第5节!S$3:S$313)</f>
        <v/>
      </c>
      <c r="Y9" s="16">
        <f>SUMIF(第5节!$A$3:$A$313,A9,第5节!T$3:T$313)</f>
        <v/>
      </c>
      <c r="Z9" s="16">
        <f>X9+Y9</f>
        <v/>
      </c>
      <c r="AA9" s="16">
        <f>SUMIF(第5节!$A$3:$A$313,A9,第5节!V$3:V$313)</f>
        <v/>
      </c>
      <c r="AB9" s="16">
        <f>SUMIF(第5节!$A$3:$A$313,A9,第5节!W$3:W$313)</f>
        <v/>
      </c>
      <c r="AC9" s="16">
        <f>SUMIF(第5节!$A$3:$A$313,A9,第5节!X$3:X$313)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COUNTIF(第5节!$A$3:$A$313,A9)</f>
        <v/>
      </c>
      <c r="C10" s="15">
        <f>SUMIF(第5节!$A$3:$A$313,A9,第5节!$C$3:$C$313)-SUMIF(第5节!$A$3:$A$313,A9,第5节!$B$3:$B$313)</f>
        <v/>
      </c>
      <c r="D10" s="16">
        <f>SUMIF(第5节!$A$3:$A$313,A9,第5节!D$3:D$313)</f>
        <v/>
      </c>
      <c r="E10" s="16">
        <f>SUMIF(第5节!$A$3:$A$313,A9,第5节!E$3:E$313)</f>
        <v/>
      </c>
      <c r="F10" s="16">
        <f>SUMIF(第5节!$A$3:$A$313,A9,第5节!F$3:F$313)</f>
        <v/>
      </c>
      <c r="G10" s="44">
        <f>IF(D9=0,0,ROUND(F9/(D9*2),3))</f>
        <v/>
      </c>
      <c r="H10" s="16">
        <f>SUMIF(第5节!$A$3:$A$313,A9,第5节!G$3:G$313)</f>
        <v/>
      </c>
      <c r="I10" s="16">
        <f>SUMIF(第5节!$A$3:$A$313,A9,第5节!H$3:H$313)</f>
        <v/>
      </c>
      <c r="J10" s="16">
        <f>SUMIF(第5节!$A$3:$A$313,A9,第5节!I$3:I$313)</f>
        <v/>
      </c>
      <c r="K10" s="44">
        <f>IF(H9=0,0,ROUND(J9/(H9*2),3))</f>
        <v/>
      </c>
      <c r="L10" s="16">
        <f>SUMIF(第5节!$A$3:$A$313,A9,第5节!J$3:J$313)</f>
        <v/>
      </c>
      <c r="M10" s="16">
        <f>SUMIF(第5节!$A$3:$A$313,A9,第5节!K$3:K$313)</f>
        <v/>
      </c>
      <c r="N10" s="16">
        <f>SUMIF(第5节!$A$3:$A$313,A9,第5节!L$3:L$313)</f>
        <v/>
      </c>
      <c r="O10" s="44">
        <f>IF(L9=0,0,ROUND(N9/(L9*3),3))</f>
        <v/>
      </c>
      <c r="P10" s="16">
        <f>SUMIF(第5节!$A$3:$A$313,A9,第5节!M$3:M$313)</f>
        <v/>
      </c>
      <c r="Q10" s="16">
        <f>SUMIF(第5节!$A$3:$A$313,A9,第5节!N$3:N$313)</f>
        <v/>
      </c>
      <c r="R10" s="16">
        <f>SUMIF(第5节!$A$3:$A$313,A9,第5节!O$3:O$313)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SUMIF(第5节!$A$3:$A$313,A9,第5节!S$3:S$313)</f>
        <v/>
      </c>
      <c r="Y10" s="16">
        <f>SUMIF(第5节!$A$3:$A$313,A9,第5节!T$3:T$313)</f>
        <v/>
      </c>
      <c r="Z10" s="16">
        <f>X9+Y9</f>
        <v/>
      </c>
      <c r="AA10" s="16">
        <f>SUMIF(第5节!$A$3:$A$313,A9,第5节!V$3:V$313)</f>
        <v/>
      </c>
      <c r="AB10" s="16">
        <f>SUMIF(第5节!$A$3:$A$313,A9,第5节!W$3:W$313)</f>
        <v/>
      </c>
      <c r="AC10" s="16">
        <f>SUMIF(第5节!$A$3:$A$313,A9,第5节!X$3:X$313)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COUNTIF(第5节!$A$3:$A$313,A9)</f>
        <v/>
      </c>
      <c r="C11" s="15">
        <f>SUMIF(第5节!$A$3:$A$313,A9,第5节!$C$3:$C$313)-SUMIF(第5节!$A$3:$A$313,A9,第5节!$B$3:$B$313)</f>
        <v/>
      </c>
      <c r="D11" s="16">
        <f>SUMIF(第5节!$A$3:$A$313,A9,第5节!D$3:D$313)</f>
        <v/>
      </c>
      <c r="E11" s="16">
        <f>SUMIF(第5节!$A$3:$A$313,A9,第5节!E$3:E$313)</f>
        <v/>
      </c>
      <c r="F11" s="16">
        <f>SUMIF(第5节!$A$3:$A$313,A9,第5节!F$3:F$313)</f>
        <v/>
      </c>
      <c r="G11" s="44">
        <f>IF(D9=0,0,ROUND(F9/(D9*2),3))</f>
        <v/>
      </c>
      <c r="H11" s="16">
        <f>SUMIF(第5节!$A$3:$A$313,A9,第5节!G$3:G$313)</f>
        <v/>
      </c>
      <c r="I11" s="16">
        <f>SUMIF(第5节!$A$3:$A$313,A9,第5节!H$3:H$313)</f>
        <v/>
      </c>
      <c r="J11" s="16">
        <f>SUMIF(第5节!$A$3:$A$313,A9,第5节!I$3:I$313)</f>
        <v/>
      </c>
      <c r="K11" s="44">
        <f>IF(H9=0,0,ROUND(J9/(H9*2),3))</f>
        <v/>
      </c>
      <c r="L11" s="16">
        <f>SUMIF(第5节!$A$3:$A$313,A9,第5节!J$3:J$313)</f>
        <v/>
      </c>
      <c r="M11" s="16">
        <f>SUMIF(第5节!$A$3:$A$313,A9,第5节!K$3:K$313)</f>
        <v/>
      </c>
      <c r="N11" s="16">
        <f>SUMIF(第5节!$A$3:$A$313,A9,第5节!L$3:L$313)</f>
        <v/>
      </c>
      <c r="O11" s="44">
        <f>IF(L9=0,0,ROUND(N9/(L9*3),3))</f>
        <v/>
      </c>
      <c r="P11" s="16">
        <f>SUMIF(第5节!$A$3:$A$313,A9,第5节!M$3:M$313)</f>
        <v/>
      </c>
      <c r="Q11" s="16">
        <f>SUMIF(第5节!$A$3:$A$313,A9,第5节!N$3:N$313)</f>
        <v/>
      </c>
      <c r="R11" s="16">
        <f>SUMIF(第5节!$A$3:$A$313,A9,第5节!O$3:O$313)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SUMIF(第5节!$A$3:$A$313,A9,第5节!S$3:S$313)</f>
        <v/>
      </c>
      <c r="Y11" s="16">
        <f>SUMIF(第5节!$A$3:$A$313,A9,第5节!T$3:T$313)</f>
        <v/>
      </c>
      <c r="Z11" s="16">
        <f>X9+Y9</f>
        <v/>
      </c>
      <c r="AA11" s="16">
        <f>SUMIF(第5节!$A$3:$A$313,A9,第5节!V$3:V$313)</f>
        <v/>
      </c>
      <c r="AB11" s="16">
        <f>SUMIF(第5节!$A$3:$A$313,A9,第5节!W$3:W$313)</f>
        <v/>
      </c>
      <c r="AC11" s="16">
        <f>SUMIF(第5节!$A$3:$A$313,A9,第5节!X$3:X$313)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COUNTIF(第5节!$A$3:$A$313,A9)</f>
        <v/>
      </c>
      <c r="C12" s="15">
        <f>SUMIF(第5节!$A$3:$A$313,A9,第5节!$C$3:$C$313)-SUMIF(第5节!$A$3:$A$313,A9,第5节!$B$3:$B$313)</f>
        <v/>
      </c>
      <c r="D12" s="16">
        <f>SUMIF(第5节!$A$3:$A$313,A9,第5节!D$3:D$313)</f>
        <v/>
      </c>
      <c r="E12" s="16">
        <f>SUMIF(第5节!$A$3:$A$313,A9,第5节!E$3:E$313)</f>
        <v/>
      </c>
      <c r="F12" s="16">
        <f>SUMIF(第5节!$A$3:$A$313,A9,第5节!F$3:F$313)</f>
        <v/>
      </c>
      <c r="G12" s="44">
        <f>IF(D9=0,0,ROUND(F9/(D9*2),3))</f>
        <v/>
      </c>
      <c r="H12" s="16">
        <f>SUMIF(第5节!$A$3:$A$313,A9,第5节!G$3:G$313)</f>
        <v/>
      </c>
      <c r="I12" s="16">
        <f>SUMIF(第5节!$A$3:$A$313,A9,第5节!H$3:H$313)</f>
        <v/>
      </c>
      <c r="J12" s="16">
        <f>SUMIF(第5节!$A$3:$A$313,A9,第5节!I$3:I$313)</f>
        <v/>
      </c>
      <c r="K12" s="44">
        <f>IF(H9=0,0,ROUND(J9/(H9*2),3))</f>
        <v/>
      </c>
      <c r="L12" s="16">
        <f>SUMIF(第5节!$A$3:$A$313,A9,第5节!J$3:J$313)</f>
        <v/>
      </c>
      <c r="M12" s="16">
        <f>SUMIF(第5节!$A$3:$A$313,A9,第5节!K$3:K$313)</f>
        <v/>
      </c>
      <c r="N12" s="16">
        <f>SUMIF(第5节!$A$3:$A$313,A9,第5节!L$3:L$313)</f>
        <v/>
      </c>
      <c r="O12" s="44">
        <f>IF(L9=0,0,ROUND(N9/(L9*3),3))</f>
        <v/>
      </c>
      <c r="P12" s="16">
        <f>SUMIF(第5节!$A$3:$A$313,A9,第5节!M$3:M$313)</f>
        <v/>
      </c>
      <c r="Q12" s="16">
        <f>SUMIF(第5节!$A$3:$A$313,A9,第5节!N$3:N$313)</f>
        <v/>
      </c>
      <c r="R12" s="16">
        <f>SUMIF(第5节!$A$3:$A$313,A9,第5节!O$3:O$313)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SUMIF(第5节!$A$3:$A$313,A9,第5节!S$3:S$313)</f>
        <v/>
      </c>
      <c r="Y12" s="16">
        <f>SUMIF(第5节!$A$3:$A$313,A9,第5节!T$3:T$313)</f>
        <v/>
      </c>
      <c r="Z12" s="16">
        <f>X9+Y9</f>
        <v/>
      </c>
      <c r="AA12" s="16">
        <f>SUMIF(第5节!$A$3:$A$313,A9,第5节!V$3:V$313)</f>
        <v/>
      </c>
      <c r="AB12" s="16">
        <f>SUMIF(第5节!$A$3:$A$313,A9,第5节!W$3:W$313)</f>
        <v/>
      </c>
      <c r="AC12" s="16">
        <f>SUMIF(第5节!$A$3:$A$313,A9,第5节!X$3:X$313)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COUNTIF(第5节!$A$3:$A$313,A9)</f>
        <v/>
      </c>
      <c r="C13" s="15">
        <f>SUMIF(第5节!$A$3:$A$313,A9,第5节!$C$3:$C$313)-SUMIF(第5节!$A$3:$A$313,A9,第5节!$B$3:$B$313)</f>
        <v/>
      </c>
      <c r="D13" s="16">
        <f>SUMIF(第5节!$A$3:$A$313,A9,第5节!D$3:D$313)</f>
        <v/>
      </c>
      <c r="E13" s="16">
        <f>SUMIF(第5节!$A$3:$A$313,A9,第5节!E$3:E$313)</f>
        <v/>
      </c>
      <c r="F13" s="16">
        <f>SUMIF(第5节!$A$3:$A$313,A9,第5节!F$3:F$313)</f>
        <v/>
      </c>
      <c r="G13" s="44">
        <f>IF(D9=0,0,ROUND(F9/(D9*2),3))</f>
        <v/>
      </c>
      <c r="H13" s="16">
        <f>SUMIF(第5节!$A$3:$A$313,A9,第5节!G$3:G$313)</f>
        <v/>
      </c>
      <c r="I13" s="16">
        <f>SUMIF(第5节!$A$3:$A$313,A9,第5节!H$3:H$313)</f>
        <v/>
      </c>
      <c r="J13" s="16">
        <f>SUMIF(第5节!$A$3:$A$313,A9,第5节!I$3:I$313)</f>
        <v/>
      </c>
      <c r="K13" s="44">
        <f>IF(H9=0,0,ROUND(J9/(H9*2),3))</f>
        <v/>
      </c>
      <c r="L13" s="16">
        <f>SUMIF(第5节!$A$3:$A$313,A9,第5节!J$3:J$313)</f>
        <v/>
      </c>
      <c r="M13" s="16">
        <f>SUMIF(第5节!$A$3:$A$313,A9,第5节!K$3:K$313)</f>
        <v/>
      </c>
      <c r="N13" s="16">
        <f>SUMIF(第5节!$A$3:$A$313,A9,第5节!L$3:L$313)</f>
        <v/>
      </c>
      <c r="O13" s="44">
        <f>IF(L9=0,0,ROUND(N9/(L9*3),3))</f>
        <v/>
      </c>
      <c r="P13" s="16">
        <f>SUMIF(第5节!$A$3:$A$313,A9,第5节!M$3:M$313)</f>
        <v/>
      </c>
      <c r="Q13" s="16">
        <f>SUMIF(第5节!$A$3:$A$313,A9,第5节!N$3:N$313)</f>
        <v/>
      </c>
      <c r="R13" s="16">
        <f>SUMIF(第5节!$A$3:$A$313,A9,第5节!O$3:O$313)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SUMIF(第5节!$A$3:$A$313,A9,第5节!S$3:S$313)</f>
        <v/>
      </c>
      <c r="Y13" s="16">
        <f>SUMIF(第5节!$A$3:$A$313,A9,第5节!T$3:T$313)</f>
        <v/>
      </c>
      <c r="Z13" s="16">
        <f>X9+Y9</f>
        <v/>
      </c>
      <c r="AA13" s="16">
        <f>SUMIF(第5节!$A$3:$A$313,A9,第5节!V$3:V$313)</f>
        <v/>
      </c>
      <c r="AB13" s="16">
        <f>SUMIF(第5节!$A$3:$A$313,A9,第5节!W$3:W$313)</f>
        <v/>
      </c>
      <c r="AC13" s="16">
        <f>SUMIF(第5节!$A$3:$A$313,A9,第5节!X$3:X$313)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COUNTIF(第5节!$A$3:$A$313,A9)</f>
        <v/>
      </c>
      <c r="C14" s="15">
        <f>SUMIF(第5节!$A$3:$A$313,A9,第5节!$C$3:$C$313)-SUMIF(第5节!$A$3:$A$313,A9,第5节!$B$3:$B$313)</f>
        <v/>
      </c>
      <c r="D14" s="16">
        <f>SUMIF(第5节!$A$3:$A$313,A9,第5节!D$3:D$313)</f>
        <v/>
      </c>
      <c r="E14" s="16">
        <f>SUMIF(第5节!$A$3:$A$313,A9,第5节!E$3:E$313)</f>
        <v/>
      </c>
      <c r="F14" s="16">
        <f>SUMIF(第5节!$A$3:$A$313,A9,第5节!F$3:F$313)</f>
        <v/>
      </c>
      <c r="G14" s="44">
        <f>IF(D9=0,0,ROUND(F9/(D9*2),3))</f>
        <v/>
      </c>
      <c r="H14" s="16">
        <f>SUMIF(第5节!$A$3:$A$313,A9,第5节!G$3:G$313)</f>
        <v/>
      </c>
      <c r="I14" s="16">
        <f>SUMIF(第5节!$A$3:$A$313,A9,第5节!H$3:H$313)</f>
        <v/>
      </c>
      <c r="J14" s="16">
        <f>SUMIF(第5节!$A$3:$A$313,A9,第5节!I$3:I$313)</f>
        <v/>
      </c>
      <c r="K14" s="44">
        <f>IF(H9=0,0,ROUND(J9/(H9*2),3))</f>
        <v/>
      </c>
      <c r="L14" s="16">
        <f>SUMIF(第5节!$A$3:$A$313,A9,第5节!J$3:J$313)</f>
        <v/>
      </c>
      <c r="M14" s="16">
        <f>SUMIF(第5节!$A$3:$A$313,A9,第5节!K$3:K$313)</f>
        <v/>
      </c>
      <c r="N14" s="16">
        <f>SUMIF(第5节!$A$3:$A$313,A9,第5节!L$3:L$313)</f>
        <v/>
      </c>
      <c r="O14" s="44">
        <f>IF(L9=0,0,ROUND(N9/(L9*3),3))</f>
        <v/>
      </c>
      <c r="P14" s="16">
        <f>SUMIF(第5节!$A$3:$A$313,A9,第5节!M$3:M$313)</f>
        <v/>
      </c>
      <c r="Q14" s="16">
        <f>SUMIF(第5节!$A$3:$A$313,A9,第5节!N$3:N$313)</f>
        <v/>
      </c>
      <c r="R14" s="16">
        <f>SUMIF(第5节!$A$3:$A$313,A9,第5节!O$3:O$313)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SUMIF(第5节!$A$3:$A$313,A9,第5节!S$3:S$313)</f>
        <v/>
      </c>
      <c r="Y14" s="16">
        <f>SUMIF(第5节!$A$3:$A$313,A9,第5节!T$3:T$313)</f>
        <v/>
      </c>
      <c r="Z14" s="16">
        <f>X9+Y9</f>
        <v/>
      </c>
      <c r="AA14" s="16">
        <f>SUMIF(第5节!$A$3:$A$313,A9,第5节!V$3:V$313)</f>
        <v/>
      </c>
      <c r="AB14" s="16">
        <f>SUMIF(第5节!$A$3:$A$313,A9,第5节!W$3:W$313)</f>
        <v/>
      </c>
      <c r="AC14" s="16">
        <f>SUMIF(第5节!$A$3:$A$313,A9,第5节!X$3:X$313)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COUNTIF(第5节!$A$3:$A$313,A9)</f>
        <v/>
      </c>
      <c r="C15" s="15">
        <f>SUMIF(第5节!$A$3:$A$313,A9,第5节!$C$3:$C$313)-SUMIF(第5节!$A$3:$A$313,A9,第5节!$B$3:$B$313)</f>
        <v/>
      </c>
      <c r="D15" s="16">
        <f>SUMIF(第5节!$A$3:$A$313,A9,第5节!D$3:D$313)</f>
        <v/>
      </c>
      <c r="E15" s="16">
        <f>SUMIF(第5节!$A$3:$A$313,A9,第5节!E$3:E$313)</f>
        <v/>
      </c>
      <c r="F15" s="16">
        <f>SUMIF(第5节!$A$3:$A$313,A9,第5节!F$3:F$313)</f>
        <v/>
      </c>
      <c r="G15" s="44">
        <f>IF(D9=0,0,ROUND(F9/(D9*2),3))</f>
        <v/>
      </c>
      <c r="H15" s="16">
        <f>SUMIF(第5节!$A$3:$A$313,A9,第5节!G$3:G$313)</f>
        <v/>
      </c>
      <c r="I15" s="16">
        <f>SUMIF(第5节!$A$3:$A$313,A9,第5节!H$3:H$313)</f>
        <v/>
      </c>
      <c r="J15" s="16">
        <f>SUMIF(第5节!$A$3:$A$313,A9,第5节!I$3:I$313)</f>
        <v/>
      </c>
      <c r="K15" s="44">
        <f>IF(H9=0,0,ROUND(J9/(H9*2),3))</f>
        <v/>
      </c>
      <c r="L15" s="16">
        <f>SUMIF(第5节!$A$3:$A$313,A9,第5节!J$3:J$313)</f>
        <v/>
      </c>
      <c r="M15" s="16">
        <f>SUMIF(第5节!$A$3:$A$313,A9,第5节!K$3:K$313)</f>
        <v/>
      </c>
      <c r="N15" s="16">
        <f>SUMIF(第5节!$A$3:$A$313,A9,第5节!L$3:L$313)</f>
        <v/>
      </c>
      <c r="O15" s="44">
        <f>IF(L9=0,0,ROUND(N9/(L9*3),3))</f>
        <v/>
      </c>
      <c r="P15" s="16">
        <f>SUMIF(第5节!$A$3:$A$313,A9,第5节!M$3:M$313)</f>
        <v/>
      </c>
      <c r="Q15" s="16">
        <f>SUMIF(第5节!$A$3:$A$313,A9,第5节!N$3:N$313)</f>
        <v/>
      </c>
      <c r="R15" s="16">
        <f>SUMIF(第5节!$A$3:$A$313,A9,第5节!O$3:O$313)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SUMIF(第5节!$A$3:$A$313,A9,第5节!S$3:S$313)</f>
        <v/>
      </c>
      <c r="Y15" s="16">
        <f>SUMIF(第5节!$A$3:$A$313,A9,第5节!T$3:T$313)</f>
        <v/>
      </c>
      <c r="Z15" s="16">
        <f>X9+Y9</f>
        <v/>
      </c>
      <c r="AA15" s="16">
        <f>SUMIF(第5节!$A$3:$A$313,A9,第5节!V$3:V$313)</f>
        <v/>
      </c>
      <c r="AB15" s="16">
        <f>SUMIF(第5节!$A$3:$A$313,A9,第5节!W$3:W$313)</f>
        <v/>
      </c>
      <c r="AC15" s="16">
        <f>SUMIF(第5节!$A$3:$A$313,A9,第5节!X$3:X$313)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SUMPRODUCT(COUNTIF($A$11:$A$17,第5节!$A$3:$A$313))</f>
        <v/>
      </c>
      <c r="C16" s="20">
        <f>SUMPRODUCT(COUNTIF($A$11:$A$17,第5节!$A$3:$A$313),第5节!$C$3:$C$313)-SUMPRODUCT(COUNTIF($A$11:$A$17,第5节!$A$3:$A$313),第5节!$B$3:$B$313)</f>
        <v/>
      </c>
      <c r="D16" s="19">
        <f>SUMPRODUCT(COUNTIF($A$11:$A$17,第5节!$A$3:$A$313),第5节!D$3:D$313)</f>
        <v/>
      </c>
      <c r="E16" s="19">
        <f>SUMPRODUCT(COUNTIF($A$11:$A$17,第5节!$A$3:$A$313),第5节!E$3:E$313)</f>
        <v/>
      </c>
      <c r="F16" s="19">
        <f>SUMPRODUCT(COUNTIF($A$11:$A$17,第5节!$A$3:$A$313),第5节!F$3:F$313)</f>
        <v/>
      </c>
      <c r="G16" s="45">
        <f>IF(D10=0,0,ROUND(F10/(D10*2),3))</f>
        <v/>
      </c>
      <c r="H16" s="19">
        <f>SUMPRODUCT(COUNTIF($A$11:$A$17,第5节!$A$3:$A$313),第5节!G$3:G$313)</f>
        <v/>
      </c>
      <c r="I16" s="19">
        <f>SUMPRODUCT(COUNTIF($A$11:$A$17,第5节!$A$3:$A$313),第5节!H$3:H$313)</f>
        <v/>
      </c>
      <c r="J16" s="19">
        <f>SUMPRODUCT(COUNTIF($A$11:$A$17,第5节!$A$3:$A$313),第5节!I$3:I$313)</f>
        <v/>
      </c>
      <c r="K16" s="45">
        <f>IF(H10=0,0,ROUND(J10/(H10*2),3))</f>
        <v/>
      </c>
      <c r="L16" s="19">
        <f>SUMPRODUCT(COUNTIF($A$11:$A$17,第5节!$A$3:$A$313),第5节!J$3:J$313)</f>
        <v/>
      </c>
      <c r="M16" s="19">
        <f>SUMPRODUCT(COUNTIF($A$11:$A$17,第5节!$A$3:$A$313),第5节!K$3:K$313)</f>
        <v/>
      </c>
      <c r="N16" s="19">
        <f>SUMPRODUCT(COUNTIF($A$11:$A$17,第5节!$A$3:$A$313),第5节!L$3:L$313)</f>
        <v/>
      </c>
      <c r="O16" s="45">
        <f>IF(L10=0,0,ROUND(N10/(L10*3),3))</f>
        <v/>
      </c>
      <c r="P16" s="19">
        <f>SUMPRODUCT(COUNTIF($A$11:$A$17,第5节!$A$3:$A$313),第5节!M$3:M$313)</f>
        <v/>
      </c>
      <c r="Q16" s="19">
        <f>SUMPRODUCT(COUNTIF($A$11:$A$17,第5节!$A$3:$A$313),第5节!N$3:N$313)</f>
        <v/>
      </c>
      <c r="R16" s="19">
        <f>SUMPRODUCT(COUNTIF($A$11:$A$17,第5节!$A$3:$A$313),第5节!O$3:O$313)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SUMPRODUCT(COUNTIF($A$11:$A$17,第5节!$A$3:$A$313),第5节!S$3:S$313)</f>
        <v/>
      </c>
      <c r="Y16" s="19">
        <f>SUMPRODUCT(COUNTIF($A$11:$A$17,第5节!$A$3:$A$313),第5节!T$3:T$313)</f>
        <v/>
      </c>
      <c r="Z16" s="19">
        <f>X10+Y10</f>
        <v/>
      </c>
      <c r="AA16" s="19">
        <f>SUMPRODUCT(COUNTIF($A$11:$A$17,第5节!$A$3:$A$313),第5节!V$3:V$313)</f>
        <v/>
      </c>
      <c r="AB16" s="19">
        <f>SUMPRODUCT(COUNTIF($A$11:$A$17,第5节!$A$3:$A$313),第5节!W$3:W$313)</f>
        <v/>
      </c>
      <c r="AC16" s="19">
        <f>SUMPRODUCT(COUNTIF($A$11:$A$17,第5节!$A$3:$A$313),第5节!X$3:X$313)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COUNTIF(第5节!$A$3:$A$313,A11)</f>
        <v/>
      </c>
      <c r="C17" s="24">
        <f>SUMIF(第5节!$A$3:$A$313,A11,第5节!$C$3:$C$313)-SUMIF(第5节!$A$3:$A$313,A11,第5节!$B$3:$B$313)</f>
        <v/>
      </c>
      <c r="D17" s="25">
        <f>SUMIF(第5节!$A$3:$A$313,A11,第5节!D$3:D$313)</f>
        <v/>
      </c>
      <c r="E17" s="25">
        <f>SUMIF(第5节!$A$3:$A$313,A11,第5节!E$3:E$313)</f>
        <v/>
      </c>
      <c r="F17" s="25">
        <f>SUMIF(第5节!$A$3:$A$313,A11,第5节!F$3:F$313)</f>
        <v/>
      </c>
      <c r="G17" s="46">
        <f>IF(D11=0,0,ROUND(F11/(D11*2),3))</f>
        <v/>
      </c>
      <c r="H17" s="25">
        <f>SUMIF(第5节!$A$3:$A$313,A11,第5节!G$3:G$313)</f>
        <v/>
      </c>
      <c r="I17" s="25">
        <f>SUMIF(第5节!$A$3:$A$313,A11,第5节!H$3:H$313)</f>
        <v/>
      </c>
      <c r="J17" s="25">
        <f>SUMIF(第5节!$A$3:$A$313,A11,第5节!I$3:I$313)</f>
        <v/>
      </c>
      <c r="K17" s="46">
        <f>IF(H11=0,0,ROUND(J11/(H11*2),3))</f>
        <v/>
      </c>
      <c r="L17" s="25">
        <f>SUMIF(第5节!$A$3:$A$313,A11,第5节!J$3:J$313)</f>
        <v/>
      </c>
      <c r="M17" s="25">
        <f>SUMIF(第5节!$A$3:$A$313,A11,第5节!K$3:K$313)</f>
        <v/>
      </c>
      <c r="N17" s="25">
        <f>SUMIF(第5节!$A$3:$A$313,A11,第5节!L$3:L$313)</f>
        <v/>
      </c>
      <c r="O17" s="46">
        <f>IF(L11=0,0,ROUND(N11/(L11*3),3))</f>
        <v/>
      </c>
      <c r="P17" s="25">
        <f>SUMIF(第5节!$A$3:$A$313,A11,第5节!M$3:M$313)</f>
        <v/>
      </c>
      <c r="Q17" s="25">
        <f>SUMIF(第5节!$A$3:$A$313,A11,第5节!N$3:N$313)</f>
        <v/>
      </c>
      <c r="R17" s="25">
        <f>SUMIF(第5节!$A$3:$A$313,A11,第5节!O$3:O$313)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SUMIF(第5节!$A$3:$A$313,A11,第5节!S$3:S$313)</f>
        <v/>
      </c>
      <c r="Y17" s="25">
        <f>SUMIF(第5节!$A$3:$A$313,A11,第5节!T$3:T$313)</f>
        <v/>
      </c>
      <c r="Z17" s="25">
        <f>X11+Y11</f>
        <v/>
      </c>
      <c r="AA17" s="25">
        <f>SUMIF(第5节!$A$3:$A$313,A11,第5节!V$3:V$313)</f>
        <v/>
      </c>
      <c r="AB17" s="25">
        <f>SUMIF(第5节!$A$3:$A$313,A11,第5节!W$3:W$313)</f>
        <v/>
      </c>
      <c r="AC17" s="25">
        <f>SUMIF(第5节!$A$3:$A$313,A11,第5节!X$3:X$313)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COUNTIF(第5节!$A$3:$A$313,A12)</f>
        <v/>
      </c>
      <c r="C18" s="24">
        <f>SUMIF(第5节!$A$3:$A$313,A12,第5节!$C$3:$C$313)-SUMIF(第5节!$A$3:$A$313,A12,第5节!$B$3:$B$313)</f>
        <v/>
      </c>
      <c r="D18" s="25">
        <f>SUMIF(第5节!$A$3:$A$313,A12,第5节!D$3:D$313)</f>
        <v/>
      </c>
      <c r="E18" s="25">
        <f>SUMIF(第5节!$A$3:$A$313,A12,第5节!E$3:E$313)</f>
        <v/>
      </c>
      <c r="F18" s="25">
        <f>SUMIF(第5节!$A$3:$A$313,A12,第5节!F$3:F$313)</f>
        <v/>
      </c>
      <c r="G18" s="46">
        <f>IF(D12=0,0,ROUND(F12/(D12*2),3))</f>
        <v/>
      </c>
      <c r="H18" s="25">
        <f>SUMIF(第5节!$A$3:$A$313,A12,第5节!G$3:G$313)</f>
        <v/>
      </c>
      <c r="I18" s="25">
        <f>SUMIF(第5节!$A$3:$A$313,A12,第5节!H$3:H$313)</f>
        <v/>
      </c>
      <c r="J18" s="25">
        <f>SUMIF(第5节!$A$3:$A$313,A12,第5节!I$3:I$313)</f>
        <v/>
      </c>
      <c r="K18" s="46">
        <f>IF(H12=0,0,ROUND(J12/(H12*2),3))</f>
        <v/>
      </c>
      <c r="L18" s="25">
        <f>SUMIF(第5节!$A$3:$A$313,A12,第5节!J$3:J$313)</f>
        <v/>
      </c>
      <c r="M18" s="25">
        <f>SUMIF(第5节!$A$3:$A$313,A12,第5节!K$3:K$313)</f>
        <v/>
      </c>
      <c r="N18" s="25">
        <f>SUMIF(第5节!$A$3:$A$313,A12,第5节!L$3:L$313)</f>
        <v/>
      </c>
      <c r="O18" s="46">
        <f>IF(L12=0,0,ROUND(N12/(L12*3),3))</f>
        <v/>
      </c>
      <c r="P18" s="25">
        <f>SUMIF(第5节!$A$3:$A$313,A12,第5节!M$3:M$313)</f>
        <v/>
      </c>
      <c r="Q18" s="25">
        <f>SUMIF(第5节!$A$3:$A$313,A12,第5节!N$3:N$313)</f>
        <v/>
      </c>
      <c r="R18" s="25">
        <f>SUMIF(第5节!$A$3:$A$313,A12,第5节!O$3:O$313)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SUMIF(第5节!$A$3:$A$313,A12,第5节!S$3:S$313)</f>
        <v/>
      </c>
      <c r="Y18" s="25">
        <f>SUMIF(第5节!$A$3:$A$313,A12,第5节!T$3:T$313)</f>
        <v/>
      </c>
      <c r="Z18" s="25">
        <f>X12+Y12</f>
        <v/>
      </c>
      <c r="AA18" s="25">
        <f>SUMIF(第5节!$A$3:$A$313,A12,第5节!V$3:V$313)</f>
        <v/>
      </c>
      <c r="AB18" s="25">
        <f>SUMIF(第5节!$A$3:$A$313,A12,第5节!W$3:W$313)</f>
        <v/>
      </c>
      <c r="AC18" s="25">
        <f>SUMIF(第5节!$A$3:$A$313,A12,第5节!X$3:X$313)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COUNTIF(第5节!$A$3:$A$313,A13)</f>
        <v/>
      </c>
      <c r="C19" s="24">
        <f>SUMIF(第5节!$A$3:$A$313,A13,第5节!$C$3:$C$313)-SUMIF(第5节!$A$3:$A$313,A13,第5节!$B$3:$B$313)</f>
        <v/>
      </c>
      <c r="D19" s="25">
        <f>SUMIF(第5节!$A$3:$A$313,A13,第5节!D$3:D$313)</f>
        <v/>
      </c>
      <c r="E19" s="25">
        <f>SUMIF(第5节!$A$3:$A$313,A13,第5节!E$3:E$313)</f>
        <v/>
      </c>
      <c r="F19" s="25">
        <f>SUMIF(第5节!$A$3:$A$313,A13,第5节!F$3:F$313)</f>
        <v/>
      </c>
      <c r="G19" s="46">
        <f>IF(D13=0,0,ROUND(F13/(D13*2),3))</f>
        <v/>
      </c>
      <c r="H19" s="25">
        <f>SUMIF(第5节!$A$3:$A$313,A13,第5节!G$3:G$313)</f>
        <v/>
      </c>
      <c r="I19" s="25">
        <f>SUMIF(第5节!$A$3:$A$313,A13,第5节!H$3:H$313)</f>
        <v/>
      </c>
      <c r="J19" s="25">
        <f>SUMIF(第5节!$A$3:$A$313,A13,第5节!I$3:I$313)</f>
        <v/>
      </c>
      <c r="K19" s="46">
        <f>IF(H13=0,0,ROUND(J13/(H13*2),3))</f>
        <v/>
      </c>
      <c r="L19" s="25">
        <f>SUMIF(第5节!$A$3:$A$313,A13,第5节!J$3:J$313)</f>
        <v/>
      </c>
      <c r="M19" s="25">
        <f>SUMIF(第5节!$A$3:$A$313,A13,第5节!K$3:K$313)</f>
        <v/>
      </c>
      <c r="N19" s="25">
        <f>SUMIF(第5节!$A$3:$A$313,A13,第5节!L$3:L$313)</f>
        <v/>
      </c>
      <c r="O19" s="46">
        <f>IF(L13=0,0,ROUND(N13/(L13*3),3))</f>
        <v/>
      </c>
      <c r="P19" s="25">
        <f>SUMIF(第5节!$A$3:$A$313,A13,第5节!M$3:M$313)</f>
        <v/>
      </c>
      <c r="Q19" s="25">
        <f>SUMIF(第5节!$A$3:$A$313,A13,第5节!N$3:N$313)</f>
        <v/>
      </c>
      <c r="R19" s="25">
        <f>SUMIF(第5节!$A$3:$A$313,A13,第5节!O$3:O$313)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SUMIF(第5节!$A$3:$A$313,A13,第5节!S$3:S$313)</f>
        <v/>
      </c>
      <c r="Y19" s="25">
        <f>SUMIF(第5节!$A$3:$A$313,A13,第5节!T$3:T$313)</f>
        <v/>
      </c>
      <c r="Z19" s="25">
        <f>X13+Y13</f>
        <v/>
      </c>
      <c r="AA19" s="25">
        <f>SUMIF(第5节!$A$3:$A$313,A13,第5节!V$3:V$313)</f>
        <v/>
      </c>
      <c r="AB19" s="25">
        <f>SUMIF(第5节!$A$3:$A$313,A13,第5节!W$3:W$313)</f>
        <v/>
      </c>
      <c r="AC19" s="25">
        <f>SUMIF(第5节!$A$3:$A$313,A13,第5节!X$3:X$313)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COUNTIF(第5节!$A$3:$A$313,A14)</f>
        <v/>
      </c>
      <c r="C20" s="24">
        <f>SUMIF(第5节!$A$3:$A$313,A14,第5节!$C$3:$C$313)-SUMIF(第5节!$A$3:$A$313,A14,第5节!$B$3:$B$313)</f>
        <v/>
      </c>
      <c r="D20" s="25">
        <f>SUMIF(第5节!$A$3:$A$313,A14,第5节!D$3:D$313)</f>
        <v/>
      </c>
      <c r="E20" s="25">
        <f>SUMIF(第5节!$A$3:$A$313,A14,第5节!E$3:E$313)</f>
        <v/>
      </c>
      <c r="F20" s="25">
        <f>SUMIF(第5节!$A$3:$A$313,A14,第5节!F$3:F$313)</f>
        <v/>
      </c>
      <c r="G20" s="46">
        <f>IF(D14=0,0,ROUND(F14/(D14*2),3))</f>
        <v/>
      </c>
      <c r="H20" s="25">
        <f>SUMIF(第5节!$A$3:$A$313,A14,第5节!G$3:G$313)</f>
        <v/>
      </c>
      <c r="I20" s="25">
        <f>SUMIF(第5节!$A$3:$A$313,A14,第5节!H$3:H$313)</f>
        <v/>
      </c>
      <c r="J20" s="25">
        <f>SUMIF(第5节!$A$3:$A$313,A14,第5节!I$3:I$313)</f>
        <v/>
      </c>
      <c r="K20" s="46">
        <f>IF(H14=0,0,ROUND(J14/(H14*2),3))</f>
        <v/>
      </c>
      <c r="L20" s="25">
        <f>SUMIF(第5节!$A$3:$A$313,A14,第5节!J$3:J$313)</f>
        <v/>
      </c>
      <c r="M20" s="25">
        <f>SUMIF(第5节!$A$3:$A$313,A14,第5节!K$3:K$313)</f>
        <v/>
      </c>
      <c r="N20" s="25">
        <f>SUMIF(第5节!$A$3:$A$313,A14,第5节!L$3:L$313)</f>
        <v/>
      </c>
      <c r="O20" s="46">
        <f>IF(L14=0,0,ROUND(N14/(L14*3),3))</f>
        <v/>
      </c>
      <c r="P20" s="25">
        <f>SUMIF(第5节!$A$3:$A$313,A14,第5节!M$3:M$313)</f>
        <v/>
      </c>
      <c r="Q20" s="25">
        <f>SUMIF(第5节!$A$3:$A$313,A14,第5节!N$3:N$313)</f>
        <v/>
      </c>
      <c r="R20" s="25">
        <f>SUMIF(第5节!$A$3:$A$313,A14,第5节!O$3:O$313)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SUMIF(第5节!$A$3:$A$313,A14,第5节!S$3:S$313)</f>
        <v/>
      </c>
      <c r="Y20" s="25">
        <f>SUMIF(第5节!$A$3:$A$313,A14,第5节!T$3:T$313)</f>
        <v/>
      </c>
      <c r="Z20" s="25">
        <f>X14+Y14</f>
        <v/>
      </c>
      <c r="AA20" s="25">
        <f>SUMIF(第5节!$A$3:$A$313,A14,第5节!V$3:V$313)</f>
        <v/>
      </c>
      <c r="AB20" s="25">
        <f>SUMIF(第5节!$A$3:$A$313,A14,第5节!W$3:W$313)</f>
        <v/>
      </c>
      <c r="AC20" s="25">
        <f>SUMIF(第5节!$A$3:$A$313,A14,第5节!X$3:X$313)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COUNTIF(第5节!$A$3:$A$313,A15)</f>
        <v/>
      </c>
      <c r="C21" s="24">
        <f>SUMIF(第5节!$A$3:$A$313,A15,第5节!$C$3:$C$313)-SUMIF(第5节!$A$3:$A$313,A15,第5节!$B$3:$B$313)</f>
        <v/>
      </c>
      <c r="D21" s="25">
        <f>SUMIF(第5节!$A$3:$A$313,A15,第5节!D$3:D$313)</f>
        <v/>
      </c>
      <c r="E21" s="25">
        <f>SUMIF(第5节!$A$3:$A$313,A15,第5节!E$3:E$313)</f>
        <v/>
      </c>
      <c r="F21" s="25">
        <f>SUMIF(第5节!$A$3:$A$313,A15,第5节!F$3:F$313)</f>
        <v/>
      </c>
      <c r="G21" s="46">
        <f>IF(D15=0,0,ROUND(F15/(D15*2),3))</f>
        <v/>
      </c>
      <c r="H21" s="25">
        <f>SUMIF(第5节!$A$3:$A$313,A15,第5节!G$3:G$313)</f>
        <v/>
      </c>
      <c r="I21" s="25">
        <f>SUMIF(第5节!$A$3:$A$313,A15,第5节!H$3:H$313)</f>
        <v/>
      </c>
      <c r="J21" s="25">
        <f>SUMIF(第5节!$A$3:$A$313,A15,第5节!I$3:I$313)</f>
        <v/>
      </c>
      <c r="K21" s="46">
        <f>IF(H15=0,0,ROUND(J15/(H15*2),3))</f>
        <v/>
      </c>
      <c r="L21" s="25">
        <f>SUMIF(第5节!$A$3:$A$313,A15,第5节!J$3:J$313)</f>
        <v/>
      </c>
      <c r="M21" s="25">
        <f>SUMIF(第5节!$A$3:$A$313,A15,第5节!K$3:K$313)</f>
        <v/>
      </c>
      <c r="N21" s="25">
        <f>SUMIF(第5节!$A$3:$A$313,A15,第5节!L$3:L$313)</f>
        <v/>
      </c>
      <c r="O21" s="46">
        <f>IF(L15=0,0,ROUND(N15/(L15*3),3))</f>
        <v/>
      </c>
      <c r="P21" s="25">
        <f>SUMIF(第5节!$A$3:$A$313,A15,第5节!M$3:M$313)</f>
        <v/>
      </c>
      <c r="Q21" s="25">
        <f>SUMIF(第5节!$A$3:$A$313,A15,第5节!N$3:N$313)</f>
        <v/>
      </c>
      <c r="R21" s="25">
        <f>SUMIF(第5节!$A$3:$A$313,A15,第5节!O$3:O$313)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SUMIF(第5节!$A$3:$A$313,A15,第5节!S$3:S$313)</f>
        <v/>
      </c>
      <c r="Y21" s="25">
        <f>SUMIF(第5节!$A$3:$A$313,A15,第5节!T$3:T$313)</f>
        <v/>
      </c>
      <c r="Z21" s="25">
        <f>X15+Y15</f>
        <v/>
      </c>
      <c r="AA21" s="25">
        <f>SUMIF(第5节!$A$3:$A$313,A15,第5节!V$3:V$313)</f>
        <v/>
      </c>
      <c r="AB21" s="25">
        <f>SUMIF(第5节!$A$3:$A$313,A15,第5节!W$3:W$313)</f>
        <v/>
      </c>
      <c r="AC21" s="25">
        <f>SUMIF(第5节!$A$3:$A$313,A15,第5节!X$3:X$313)</f>
        <v/>
      </c>
      <c r="AD21" s="27" t="n"/>
    </row>
    <row r="22">
      <c r="A22" s="23" t="inlineStr">
        <is>
          <t>许馨墨</t>
        </is>
      </c>
      <c r="B22" s="23">
        <f>COUNTIF(第5节!$A$3:$A$313,A16)</f>
        <v/>
      </c>
      <c r="C22" s="24">
        <f>SUMIF(第5节!$A$3:$A$313,A16,第5节!$C$3:$C$313)-SUMIF(第5节!$A$3:$A$313,A16,第5节!$B$3:$B$313)</f>
        <v/>
      </c>
      <c r="D22" s="25">
        <f>SUMIF(第5节!$A$3:$A$313,A16,第5节!D$3:D$313)</f>
        <v/>
      </c>
      <c r="E22" s="25">
        <f>SUMIF(第5节!$A$3:$A$313,A16,第5节!E$3:E$313)</f>
        <v/>
      </c>
      <c r="F22" s="25">
        <f>SUMIF(第5节!$A$3:$A$313,A16,第5节!F$3:F$313)</f>
        <v/>
      </c>
      <c r="G22" s="46">
        <f>IF(D16=0,0,ROUND(F16/(D16*2),3))</f>
        <v/>
      </c>
      <c r="H22" s="25">
        <f>SUMIF(第5节!$A$3:$A$313,A16,第5节!G$3:G$313)</f>
        <v/>
      </c>
      <c r="I22" s="25">
        <f>SUMIF(第5节!$A$3:$A$313,A16,第5节!H$3:H$313)</f>
        <v/>
      </c>
      <c r="J22" s="25">
        <f>SUMIF(第5节!$A$3:$A$313,A16,第5节!I$3:I$313)</f>
        <v/>
      </c>
      <c r="K22" s="46">
        <f>IF(H16=0,0,ROUND(J16/(H16*2),3))</f>
        <v/>
      </c>
      <c r="L22" s="25">
        <f>SUMIF(第5节!$A$3:$A$313,A16,第5节!J$3:J$313)</f>
        <v/>
      </c>
      <c r="M22" s="25">
        <f>SUMIF(第5节!$A$3:$A$313,A16,第5节!K$3:K$313)</f>
        <v/>
      </c>
      <c r="N22" s="25">
        <f>SUMIF(第5节!$A$3:$A$313,A16,第5节!L$3:L$313)</f>
        <v/>
      </c>
      <c r="O22" s="46">
        <f>IF(L16=0,0,ROUND(N16/(L16*3),3))</f>
        <v/>
      </c>
      <c r="P22" s="25">
        <f>SUMIF(第5节!$A$3:$A$313,A16,第5节!M$3:M$313)</f>
        <v/>
      </c>
      <c r="Q22" s="25">
        <f>SUMIF(第5节!$A$3:$A$313,A16,第5节!N$3:N$313)</f>
        <v/>
      </c>
      <c r="R22" s="25">
        <f>SUMIF(第5节!$A$3:$A$313,A16,第5节!O$3:O$313)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SUMIF(第5节!$A$3:$A$313,A16,第5节!S$3:S$313)</f>
        <v/>
      </c>
      <c r="Y22" s="25">
        <f>SUMIF(第5节!$A$3:$A$313,A16,第5节!T$3:T$313)</f>
        <v/>
      </c>
      <c r="Z22" s="25">
        <f>X16+Y16</f>
        <v/>
      </c>
      <c r="AA22" s="25">
        <f>SUMIF(第5节!$A$3:$A$313,A16,第5节!V$3:V$313)</f>
        <v/>
      </c>
      <c r="AB22" s="25">
        <f>SUMIF(第5节!$A$3:$A$313,A16,第5节!W$3:W$313)</f>
        <v/>
      </c>
      <c r="AC22" s="25">
        <f>SUMIF(第5节!$A$3:$A$313,A16,第5节!X$3:X$313)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COUNTIF(第5节!$A$3:$A$313,A17)</f>
        <v/>
      </c>
      <c r="C23" s="24">
        <f>SUMIF(第5节!$A$3:$A$313,A17,第5节!$C$3:$C$313)-SUMIF(第5节!$A$3:$A$313,A17,第5节!$B$3:$B$313)</f>
        <v/>
      </c>
      <c r="D23" s="25">
        <f>SUMIF(第5节!$A$3:$A$313,A17,第5节!D$3:D$313)</f>
        <v/>
      </c>
      <c r="E23" s="25">
        <f>SUMIF(第5节!$A$3:$A$313,A17,第5节!E$3:E$313)</f>
        <v/>
      </c>
      <c r="F23" s="25">
        <f>SUMIF(第5节!$A$3:$A$313,A17,第5节!F$3:F$313)</f>
        <v/>
      </c>
      <c r="G23" s="46">
        <f>IF(D17=0,0,ROUND(F17/(D17*2),3))</f>
        <v/>
      </c>
      <c r="H23" s="25">
        <f>SUMIF(第5节!$A$3:$A$313,A17,第5节!G$3:G$313)</f>
        <v/>
      </c>
      <c r="I23" s="25">
        <f>SUMIF(第5节!$A$3:$A$313,A17,第5节!H$3:H$313)</f>
        <v/>
      </c>
      <c r="J23" s="25">
        <f>SUMIF(第5节!$A$3:$A$313,A17,第5节!I$3:I$313)</f>
        <v/>
      </c>
      <c r="K23" s="46">
        <f>IF(H17=0,0,ROUND(J17/(H17*2),3))</f>
        <v/>
      </c>
      <c r="L23" s="25">
        <f>SUMIF(第5节!$A$3:$A$313,A17,第5节!J$3:J$313)</f>
        <v/>
      </c>
      <c r="M23" s="25">
        <f>SUMIF(第5节!$A$3:$A$313,A17,第5节!K$3:K$313)</f>
        <v/>
      </c>
      <c r="N23" s="25">
        <f>SUMIF(第5节!$A$3:$A$313,A17,第5节!L$3:L$313)</f>
        <v/>
      </c>
      <c r="O23" s="46">
        <f>IF(L17=0,0,ROUND(N17/(L17*3),3))</f>
        <v/>
      </c>
      <c r="P23" s="25">
        <f>SUMIF(第5节!$A$3:$A$313,A17,第5节!M$3:M$313)</f>
        <v/>
      </c>
      <c r="Q23" s="25">
        <f>SUMIF(第5节!$A$3:$A$313,A17,第5节!N$3:N$313)</f>
        <v/>
      </c>
      <c r="R23" s="25">
        <f>SUMIF(第5节!$A$3:$A$313,A17,第5节!O$3:O$313)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SUMIF(第5节!$A$3:$A$313,A17,第5节!S$3:S$313)</f>
        <v/>
      </c>
      <c r="Y23" s="25">
        <f>SUMIF(第5节!$A$3:$A$313,A17,第5节!T$3:T$313)</f>
        <v/>
      </c>
      <c r="Z23" s="25">
        <f>X17+Y17</f>
        <v/>
      </c>
      <c r="AA23" s="25">
        <f>SUMIF(第5节!$A$3:$A$313,A17,第5节!V$3:V$313)</f>
        <v/>
      </c>
      <c r="AB23" s="25">
        <f>SUMIF(第5节!$A$3:$A$313,A17,第5节!W$3:W$313)</f>
        <v/>
      </c>
      <c r="AC23" s="25">
        <f>SUMIF(第5节!$A$3:$A$313,A17,第5节!X$3:X$313)</f>
        <v/>
      </c>
      <c r="AD23" s="27" t="n"/>
    </row>
    <row r="24">
      <c r="A24" s="23" t="inlineStr">
        <is>
          <t>B队球员8</t>
        </is>
      </c>
      <c r="B24" s="23">
        <f>COUNTIF(第5节!$A$3:$A$313,A17)</f>
        <v/>
      </c>
      <c r="C24" s="24">
        <f>SUMIF(第5节!$A$3:$A$313,A17,第5节!$C$3:$C$313)-SUMIF(第5节!$A$3:$A$313,A17,第5节!$B$3:$B$313)</f>
        <v/>
      </c>
      <c r="D24" s="25">
        <f>SUMIF(第5节!$A$3:$A$313,A17,第5节!D$3:D$313)</f>
        <v/>
      </c>
      <c r="E24" s="25">
        <f>SUMIF(第5节!$A$3:$A$313,A17,第5节!E$3:E$313)</f>
        <v/>
      </c>
      <c r="F24" s="25">
        <f>SUMIF(第5节!$A$3:$A$313,A17,第5节!F$3:F$313)</f>
        <v/>
      </c>
      <c r="G24" s="46">
        <f>IF(D17=0,0,ROUND(F17/(D17*2),3))</f>
        <v/>
      </c>
      <c r="H24" s="25">
        <f>SUMIF(第5节!$A$3:$A$313,A17,第5节!G$3:G$313)</f>
        <v/>
      </c>
      <c r="I24" s="25">
        <f>SUMIF(第5节!$A$3:$A$313,A17,第5节!H$3:H$313)</f>
        <v/>
      </c>
      <c r="J24" s="25">
        <f>SUMIF(第5节!$A$3:$A$313,A17,第5节!I$3:I$313)</f>
        <v/>
      </c>
      <c r="K24" s="46">
        <f>IF(H17=0,0,ROUND(J17/(H17*2),3))</f>
        <v/>
      </c>
      <c r="L24" s="25">
        <f>SUMIF(第5节!$A$3:$A$313,A17,第5节!J$3:J$313)</f>
        <v/>
      </c>
      <c r="M24" s="25">
        <f>SUMIF(第5节!$A$3:$A$313,A17,第5节!K$3:K$313)</f>
        <v/>
      </c>
      <c r="N24" s="25">
        <f>SUMIF(第5节!$A$3:$A$313,A17,第5节!L$3:L$313)</f>
        <v/>
      </c>
      <c r="O24" s="46">
        <f>IF(L17=0,0,ROUND(N17/(L17*3),3))</f>
        <v/>
      </c>
      <c r="P24" s="25">
        <f>SUMIF(第5节!$A$3:$A$313,A17,第5节!M$3:M$313)</f>
        <v/>
      </c>
      <c r="Q24" s="25">
        <f>SUMIF(第5节!$A$3:$A$313,A17,第5节!N$3:N$313)</f>
        <v/>
      </c>
      <c r="R24" s="25">
        <f>SUMIF(第5节!$A$3:$A$313,A17,第5节!O$3:O$313)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SUMIF(第5节!$A$3:$A$313,A17,第5节!S$3:S$313)</f>
        <v/>
      </c>
      <c r="Y24" s="25">
        <f>SUMIF(第5节!$A$3:$A$313,A17,第5节!T$3:T$313)</f>
        <v/>
      </c>
      <c r="Z24" s="25">
        <f>X17+Y17</f>
        <v/>
      </c>
      <c r="AA24" s="25">
        <f>SUMIF(第5节!$A$3:$A$313,A17,第5节!V$3:V$313)</f>
        <v/>
      </c>
      <c r="AB24" s="25">
        <f>SUMIF(第5节!$A$3:$A$313,A17,第5节!W$3:W$313)</f>
        <v/>
      </c>
      <c r="AC24" s="25">
        <f>SUMIF(第5节!$A$3:$A$313,A17,第5节!X$3:X$313)</f>
        <v/>
      </c>
      <c r="AD24" s="27" t="n"/>
    </row>
    <row r="25">
      <c r="A25" s="23" t="inlineStr">
        <is>
          <t>B队球员9</t>
        </is>
      </c>
      <c r="B25" s="23">
        <f>COUNTIF(第5节!$A$3:$A$313,A17)</f>
        <v/>
      </c>
      <c r="C25" s="24">
        <f>SUMIF(第5节!$A$3:$A$313,A17,第5节!$C$3:$C$313)-SUMIF(第5节!$A$3:$A$313,A17,第5节!$B$3:$B$313)</f>
        <v/>
      </c>
      <c r="D25" s="25">
        <f>SUMIF(第5节!$A$3:$A$313,A17,第5节!D$3:D$313)</f>
        <v/>
      </c>
      <c r="E25" s="25">
        <f>SUMIF(第5节!$A$3:$A$313,A17,第5节!E$3:E$313)</f>
        <v/>
      </c>
      <c r="F25" s="25">
        <f>SUMIF(第5节!$A$3:$A$313,A17,第5节!F$3:F$313)</f>
        <v/>
      </c>
      <c r="G25" s="46">
        <f>IF(D17=0,0,ROUND(F17/(D17*2),3))</f>
        <v/>
      </c>
      <c r="H25" s="25">
        <f>SUMIF(第5节!$A$3:$A$313,A17,第5节!G$3:G$313)</f>
        <v/>
      </c>
      <c r="I25" s="25">
        <f>SUMIF(第5节!$A$3:$A$313,A17,第5节!H$3:H$313)</f>
        <v/>
      </c>
      <c r="J25" s="25">
        <f>SUMIF(第5节!$A$3:$A$313,A17,第5节!I$3:I$313)</f>
        <v/>
      </c>
      <c r="K25" s="46">
        <f>IF(H17=0,0,ROUND(J17/(H17*2),3))</f>
        <v/>
      </c>
      <c r="L25" s="25">
        <f>SUMIF(第5节!$A$3:$A$313,A17,第5节!J$3:J$313)</f>
        <v/>
      </c>
      <c r="M25" s="25">
        <f>SUMIF(第5节!$A$3:$A$313,A17,第5节!K$3:K$313)</f>
        <v/>
      </c>
      <c r="N25" s="25">
        <f>SUMIF(第5节!$A$3:$A$313,A17,第5节!L$3:L$313)</f>
        <v/>
      </c>
      <c r="O25" s="46">
        <f>IF(L17=0,0,ROUND(N17/(L17*3),3))</f>
        <v/>
      </c>
      <c r="P25" s="25">
        <f>SUMIF(第5节!$A$3:$A$313,A17,第5节!M$3:M$313)</f>
        <v/>
      </c>
      <c r="Q25" s="25">
        <f>SUMIF(第5节!$A$3:$A$313,A17,第5节!N$3:N$313)</f>
        <v/>
      </c>
      <c r="R25" s="25">
        <f>SUMIF(第5节!$A$3:$A$313,A17,第5节!O$3:O$313)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SUMIF(第5节!$A$3:$A$313,A17,第5节!S$3:S$313)</f>
        <v/>
      </c>
      <c r="Y25" s="25">
        <f>SUMIF(第5节!$A$3:$A$313,A17,第5节!T$3:T$313)</f>
        <v/>
      </c>
      <c r="Z25" s="25">
        <f>X17+Y17</f>
        <v/>
      </c>
      <c r="AA25" s="25">
        <f>SUMIF(第5节!$A$3:$A$313,A17,第5节!V$3:V$313)</f>
        <v/>
      </c>
      <c r="AB25" s="25">
        <f>SUMIF(第5节!$A$3:$A$313,A17,第5节!W$3:W$313)</f>
        <v/>
      </c>
      <c r="AC25" s="25">
        <f>SUMIF(第5节!$A$3:$A$313,A17,第5节!X$3:X$313)</f>
        <v/>
      </c>
      <c r="AD25" s="27" t="n"/>
    </row>
    <row r="26">
      <c r="A26" s="23" t="inlineStr">
        <is>
          <t>B队球员10</t>
        </is>
      </c>
      <c r="B26" s="23">
        <f>COUNTIF(第5节!$A$3:$A$313,A17)</f>
        <v/>
      </c>
      <c r="C26" s="24">
        <f>SUMIF(第5节!$A$3:$A$313,A17,第5节!$C$3:$C$313)-SUMIF(第5节!$A$3:$A$313,A17,第5节!$B$3:$B$313)</f>
        <v/>
      </c>
      <c r="D26" s="25">
        <f>SUMIF(第5节!$A$3:$A$313,A17,第5节!D$3:D$313)</f>
        <v/>
      </c>
      <c r="E26" s="25">
        <f>SUMIF(第5节!$A$3:$A$313,A17,第5节!E$3:E$313)</f>
        <v/>
      </c>
      <c r="F26" s="25">
        <f>SUMIF(第5节!$A$3:$A$313,A17,第5节!F$3:F$313)</f>
        <v/>
      </c>
      <c r="G26" s="46">
        <f>IF(D17=0,0,ROUND(F17/(D17*2),3))</f>
        <v/>
      </c>
      <c r="H26" s="25">
        <f>SUMIF(第5节!$A$3:$A$313,A17,第5节!G$3:G$313)</f>
        <v/>
      </c>
      <c r="I26" s="25">
        <f>SUMIF(第5节!$A$3:$A$313,A17,第5节!H$3:H$313)</f>
        <v/>
      </c>
      <c r="J26" s="25">
        <f>SUMIF(第5节!$A$3:$A$313,A17,第5节!I$3:I$313)</f>
        <v/>
      </c>
      <c r="K26" s="46">
        <f>IF(H17=0,0,ROUND(J17/(H17*2),3))</f>
        <v/>
      </c>
      <c r="L26" s="25">
        <f>SUMIF(第5节!$A$3:$A$313,A17,第5节!J$3:J$313)</f>
        <v/>
      </c>
      <c r="M26" s="25">
        <f>SUMIF(第5节!$A$3:$A$313,A17,第5节!K$3:K$313)</f>
        <v/>
      </c>
      <c r="N26" s="25">
        <f>SUMIF(第5节!$A$3:$A$313,A17,第5节!L$3:L$313)</f>
        <v/>
      </c>
      <c r="O26" s="46">
        <f>IF(L17=0,0,ROUND(N17/(L17*3),3))</f>
        <v/>
      </c>
      <c r="P26" s="25">
        <f>SUMIF(第5节!$A$3:$A$313,A17,第5节!M$3:M$313)</f>
        <v/>
      </c>
      <c r="Q26" s="25">
        <f>SUMIF(第5节!$A$3:$A$313,A17,第5节!N$3:N$313)</f>
        <v/>
      </c>
      <c r="R26" s="25">
        <f>SUMIF(第5节!$A$3:$A$313,A17,第5节!O$3:O$313)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SUMIF(第5节!$A$3:$A$313,A17,第5节!S$3:S$313)</f>
        <v/>
      </c>
      <c r="Y26" s="25">
        <f>SUMIF(第5节!$A$3:$A$313,A17,第5节!T$3:T$313)</f>
        <v/>
      </c>
      <c r="Z26" s="25">
        <f>X17+Y17</f>
        <v/>
      </c>
      <c r="AA26" s="25">
        <f>SUMIF(第5节!$A$3:$A$313,A17,第5节!V$3:V$313)</f>
        <v/>
      </c>
      <c r="AB26" s="25">
        <f>SUMIF(第5节!$A$3:$A$313,A17,第5节!W$3:W$313)</f>
        <v/>
      </c>
      <c r="AC26" s="25">
        <f>SUMIF(第5节!$A$3:$A$313,A17,第5节!X$3:X$313)</f>
        <v/>
      </c>
      <c r="AD26" s="27" t="n"/>
    </row>
    <row r="27">
      <c r="A27" s="23" t="inlineStr">
        <is>
          <t>B队球员11</t>
        </is>
      </c>
      <c r="B27" s="23">
        <f>COUNTIF(第5节!$A$3:$A$313,A17)</f>
        <v/>
      </c>
      <c r="C27" s="24">
        <f>SUMIF(第5节!$A$3:$A$313,A17,第5节!$C$3:$C$313)-SUMIF(第5节!$A$3:$A$313,A17,第5节!$B$3:$B$313)</f>
        <v/>
      </c>
      <c r="D27" s="25">
        <f>SUMIF(第5节!$A$3:$A$313,A17,第5节!D$3:D$313)</f>
        <v/>
      </c>
      <c r="E27" s="25">
        <f>SUMIF(第5节!$A$3:$A$313,A17,第5节!E$3:E$313)</f>
        <v/>
      </c>
      <c r="F27" s="25">
        <f>SUMIF(第5节!$A$3:$A$313,A17,第5节!F$3:F$313)</f>
        <v/>
      </c>
      <c r="G27" s="46">
        <f>IF(D17=0,0,ROUND(F17/(D17*2),3))</f>
        <v/>
      </c>
      <c r="H27" s="25">
        <f>SUMIF(第5节!$A$3:$A$313,A17,第5节!G$3:G$313)</f>
        <v/>
      </c>
      <c r="I27" s="25">
        <f>SUMIF(第5节!$A$3:$A$313,A17,第5节!H$3:H$313)</f>
        <v/>
      </c>
      <c r="J27" s="25">
        <f>SUMIF(第5节!$A$3:$A$313,A17,第5节!I$3:I$313)</f>
        <v/>
      </c>
      <c r="K27" s="46">
        <f>IF(H17=0,0,ROUND(J17/(H17*2),3))</f>
        <v/>
      </c>
      <c r="L27" s="25">
        <f>SUMIF(第5节!$A$3:$A$313,A17,第5节!J$3:J$313)</f>
        <v/>
      </c>
      <c r="M27" s="25">
        <f>SUMIF(第5节!$A$3:$A$313,A17,第5节!K$3:K$313)</f>
        <v/>
      </c>
      <c r="N27" s="25">
        <f>SUMIF(第5节!$A$3:$A$313,A17,第5节!L$3:L$313)</f>
        <v/>
      </c>
      <c r="O27" s="46">
        <f>IF(L17=0,0,ROUND(N17/(L17*3),3))</f>
        <v/>
      </c>
      <c r="P27" s="25">
        <f>SUMIF(第5节!$A$3:$A$313,A17,第5节!M$3:M$313)</f>
        <v/>
      </c>
      <c r="Q27" s="25">
        <f>SUMIF(第5节!$A$3:$A$313,A17,第5节!N$3:N$313)</f>
        <v/>
      </c>
      <c r="R27" s="25">
        <f>SUMIF(第5节!$A$3:$A$313,A17,第5节!O$3:O$313)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SUMIF(第5节!$A$3:$A$313,A17,第5节!S$3:S$313)</f>
        <v/>
      </c>
      <c r="Y27" s="25">
        <f>SUMIF(第5节!$A$3:$A$313,A17,第5节!T$3:T$313)</f>
        <v/>
      </c>
      <c r="Z27" s="25">
        <f>X17+Y17</f>
        <v/>
      </c>
      <c r="AA27" s="25">
        <f>SUMIF(第5节!$A$3:$A$313,A17,第5节!V$3:V$313)</f>
        <v/>
      </c>
      <c r="AB27" s="25">
        <f>SUMIF(第5节!$A$3:$A$313,A17,第5节!W$3:W$313)</f>
        <v/>
      </c>
      <c r="AC27" s="25">
        <f>SUMIF(第5节!$A$3:$A$313,A17,第5节!X$3:X$313)</f>
        <v/>
      </c>
      <c r="AD27" s="27" t="n"/>
    </row>
    <row r="28">
      <c r="A28" s="23" t="inlineStr">
        <is>
          <t>B队球员12</t>
        </is>
      </c>
      <c r="B28" s="23">
        <f>COUNTIF(第5节!$A$3:$A$313,A17)</f>
        <v/>
      </c>
      <c r="C28" s="24">
        <f>SUMIF(第5节!$A$3:$A$313,A17,第5节!$C$3:$C$313)-SUMIF(第5节!$A$3:$A$313,A17,第5节!$B$3:$B$313)</f>
        <v/>
      </c>
      <c r="D28" s="25">
        <f>SUMIF(第5节!$A$3:$A$313,A17,第5节!D$3:D$313)</f>
        <v/>
      </c>
      <c r="E28" s="25">
        <f>SUMIF(第5节!$A$3:$A$313,A17,第5节!E$3:E$313)</f>
        <v/>
      </c>
      <c r="F28" s="25">
        <f>SUMIF(第5节!$A$3:$A$313,A17,第5节!F$3:F$313)</f>
        <v/>
      </c>
      <c r="G28" s="46">
        <f>IF(D17=0,0,ROUND(F17/(D17*2),3))</f>
        <v/>
      </c>
      <c r="H28" s="25">
        <f>SUMIF(第5节!$A$3:$A$313,A17,第5节!G$3:G$313)</f>
        <v/>
      </c>
      <c r="I28" s="25">
        <f>SUMIF(第5节!$A$3:$A$313,A17,第5节!H$3:H$313)</f>
        <v/>
      </c>
      <c r="J28" s="25">
        <f>SUMIF(第5节!$A$3:$A$313,A17,第5节!I$3:I$313)</f>
        <v/>
      </c>
      <c r="K28" s="46">
        <f>IF(H17=0,0,ROUND(J17/(H17*2),3))</f>
        <v/>
      </c>
      <c r="L28" s="25">
        <f>SUMIF(第5节!$A$3:$A$313,A17,第5节!J$3:J$313)</f>
        <v/>
      </c>
      <c r="M28" s="25">
        <f>SUMIF(第5节!$A$3:$A$313,A17,第5节!K$3:K$313)</f>
        <v/>
      </c>
      <c r="N28" s="25">
        <f>SUMIF(第5节!$A$3:$A$313,A17,第5节!L$3:L$313)</f>
        <v/>
      </c>
      <c r="O28" s="46">
        <f>IF(L17=0,0,ROUND(N17/(L17*3),3))</f>
        <v/>
      </c>
      <c r="P28" s="25">
        <f>SUMIF(第5节!$A$3:$A$313,A17,第5节!M$3:M$313)</f>
        <v/>
      </c>
      <c r="Q28" s="25">
        <f>SUMIF(第5节!$A$3:$A$313,A17,第5节!N$3:N$313)</f>
        <v/>
      </c>
      <c r="R28" s="25">
        <f>SUMIF(第5节!$A$3:$A$313,A17,第5节!O$3:O$313)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SUMIF(第5节!$A$3:$A$313,A17,第5节!S$3:S$313)</f>
        <v/>
      </c>
      <c r="Y28" s="25">
        <f>SUMIF(第5节!$A$3:$A$313,A17,第5节!T$3:T$313)</f>
        <v/>
      </c>
      <c r="Z28" s="25">
        <f>X17+Y17</f>
        <v/>
      </c>
      <c r="AA28" s="25">
        <f>SUMIF(第5节!$A$3:$A$313,A17,第5节!V$3:V$313)</f>
        <v/>
      </c>
      <c r="AB28" s="25">
        <f>SUMIF(第5节!$A$3:$A$313,A17,第5节!W$3:W$313)</f>
        <v/>
      </c>
      <c r="AC28" s="25">
        <f>SUMIF(第5节!$A$3:$A$313,A17,第5节!X$3:X$313)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SUMPRODUCT(COUNTIF($A$4:$A$9,第6节!$A$3:$A$313))</f>
        <v/>
      </c>
      <c r="C3" s="10">
        <f>SUMPRODUCT(COUNTIF($A$4:$A$9,第6节!$A$3:$A$313),第6节!$C$3:$C$313)-SUMPRODUCT(COUNTIF($A$4:$A$9,第6节!$A$3:$A$313),第6节!$B$3:$B$313)</f>
        <v/>
      </c>
      <c r="D3" s="11">
        <f>SUMPRODUCT(COUNTIF($A$4:$A$9,第6节!$A$3:$A$313),第6节!D$3:D$313)</f>
        <v/>
      </c>
      <c r="E3" s="11">
        <f>SUMPRODUCT(COUNTIF($A$4:$A$9,第6节!$A$3:$A$313),第6节!E$3:E$313)</f>
        <v/>
      </c>
      <c r="F3" s="11">
        <f>SUMPRODUCT(COUNTIF($A$4:$A$9,第6节!$A$3:$A$313),第6节!F$3:F$313)</f>
        <v/>
      </c>
      <c r="G3" s="43">
        <f>IF(D3=0,0,ROUND(F3/(D3*2),3))</f>
        <v/>
      </c>
      <c r="H3" s="11">
        <f>SUMPRODUCT(COUNTIF($A$4:$A$9,第6节!$A$3:$A$313),第6节!G$3:G$313)</f>
        <v/>
      </c>
      <c r="I3" s="11">
        <f>SUMPRODUCT(COUNTIF($A$4:$A$9,第6节!$A$3:$A$313),第6节!H$3:H$313)</f>
        <v/>
      </c>
      <c r="J3" s="11">
        <f>SUMPRODUCT(COUNTIF($A$4:$A$9,第6节!$A$3:$A$313),第6节!I$3:I$313)</f>
        <v/>
      </c>
      <c r="K3" s="43">
        <f>IF(H3=0,0,ROUND(J3/(H3*2),3))</f>
        <v/>
      </c>
      <c r="L3" s="11">
        <f>SUMPRODUCT(COUNTIF($A$4:$A$9,第6节!$A$3:$A$313),第6节!J$3:J$313)</f>
        <v/>
      </c>
      <c r="M3" s="11">
        <f>SUMPRODUCT(COUNTIF($A$4:$A$9,第6节!$A$3:$A$313),第6节!K$3:K$313)</f>
        <v/>
      </c>
      <c r="N3" s="11">
        <f>SUMPRODUCT(COUNTIF($A$4:$A$9,第6节!$A$3:$A$313),第6节!L$3:L$313)</f>
        <v/>
      </c>
      <c r="O3" s="43">
        <f>IF(L3=0,0,ROUND(N3/(L3*3),3))</f>
        <v/>
      </c>
      <c r="P3" s="11">
        <f>SUMPRODUCT(COUNTIF($A$4:$A$9,第6节!$A$3:$A$313),第6节!M$3:M$313)</f>
        <v/>
      </c>
      <c r="Q3" s="11">
        <f>SUMPRODUCT(COUNTIF($A$4:$A$9,第6节!$A$3:$A$313),第6节!N$3:N$313)</f>
        <v/>
      </c>
      <c r="R3" s="11">
        <f>SUMPRODUCT(COUNTIF($A$4:$A$9,第6节!$A$3:$A$313),第6节!O$3:O$313)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SUMPRODUCT(COUNTIF($A$4:$A$9,第6节!$A$3:$A$313),第6节!S$3:S$313)</f>
        <v/>
      </c>
      <c r="Y3" s="11">
        <f>SUMPRODUCT(COUNTIF($A$4:$A$9,第6节!$A$3:$A$313),第6节!T$3:T$313)</f>
        <v/>
      </c>
      <c r="Z3" s="11">
        <f>X3+Y3</f>
        <v/>
      </c>
      <c r="AA3" s="11">
        <f>SUMPRODUCT(COUNTIF($A$4:$A$9,第6节!$A$3:$A$313),第6节!V$3:V$313)</f>
        <v/>
      </c>
      <c r="AB3" s="11">
        <f>SUMPRODUCT(COUNTIF($A$4:$A$9,第6节!$A$3:$A$313),第6节!W$3:W$313)</f>
        <v/>
      </c>
      <c r="AC3" s="11">
        <f>SUMPRODUCT(COUNTIF($A$4:$A$9,第6节!$A$3:$A$313),第6节!X$3:X$313)</f>
        <v/>
      </c>
      <c r="AD3" s="13" t="n"/>
    </row>
    <row r="4" ht="22.5" customHeight="1">
      <c r="A4" s="14" t="inlineStr">
        <is>
          <t>陈赞安</t>
        </is>
      </c>
      <c r="B4" s="14">
        <f>COUNTIF(第6节!$A$3:$A$313,A4)</f>
        <v/>
      </c>
      <c r="C4" s="15">
        <f>SUMIF(第6节!$A$3:$A$313,A4,第6节!$C$3:$C$313)-SUMIF(第6节!$A$3:$A$313,A4,第6节!$B$3:$B$313)</f>
        <v/>
      </c>
      <c r="D4" s="16">
        <f>SUMIF(第6节!$A$3:$A$313,A4,第6节!D$3:D$313)</f>
        <v/>
      </c>
      <c r="E4" s="16">
        <f>SUMIF(第6节!$A$3:$A$313,A4,第6节!E$3:E$313)</f>
        <v/>
      </c>
      <c r="F4" s="16">
        <f>SUMIF(第6节!$A$3:$A$313,A4,第6节!F$3:F$313)</f>
        <v/>
      </c>
      <c r="G4" s="44">
        <f>IF(D4=0,0,ROUND(F4/(D4*2),3))</f>
        <v/>
      </c>
      <c r="H4" s="16">
        <f>SUMIF(第6节!$A$3:$A$313,A4,第6节!G$3:G$313)</f>
        <v/>
      </c>
      <c r="I4" s="16">
        <f>SUMIF(第6节!$A$3:$A$313,A4,第6节!H$3:H$313)</f>
        <v/>
      </c>
      <c r="J4" s="16">
        <f>SUMIF(第6节!$A$3:$A$313,A4,第6节!I$3:I$313)</f>
        <v/>
      </c>
      <c r="K4" s="44">
        <f>IF(H4=0,0,ROUND(J4/(H4*2),3))</f>
        <v/>
      </c>
      <c r="L4" s="16">
        <f>SUMIF(第6节!$A$3:$A$313,A4,第6节!J$3:J$313)</f>
        <v/>
      </c>
      <c r="M4" s="16">
        <f>SUMIF(第6节!$A$3:$A$313,A4,第6节!K$3:K$313)</f>
        <v/>
      </c>
      <c r="N4" s="16">
        <f>SUMIF(第6节!$A$3:$A$313,A4,第6节!L$3:L$313)</f>
        <v/>
      </c>
      <c r="O4" s="44">
        <f>IF(L4=0,0,ROUND(N4/(L4*3),3))</f>
        <v/>
      </c>
      <c r="P4" s="16">
        <f>SUMIF(第6节!$A$3:$A$313,A4,第6节!M$3:M$313)</f>
        <v/>
      </c>
      <c r="Q4" s="16">
        <f>SUMIF(第6节!$A$3:$A$313,A4,第6节!N$3:N$313)</f>
        <v/>
      </c>
      <c r="R4" s="16">
        <f>SUMIF(第6节!$A$3:$A$313,A4,第6节!O$3:O$313)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SUMIF(第6节!$A$3:$A$313,A4,第6节!S$3:S$313)</f>
        <v/>
      </c>
      <c r="Y4" s="16">
        <f>SUMIF(第6节!$A$3:$A$313,A4,第6节!T$3:T$313)</f>
        <v/>
      </c>
      <c r="Z4" s="16">
        <f>X4+Y4</f>
        <v/>
      </c>
      <c r="AA4" s="16">
        <f>SUMIF(第6节!$A$3:$A$313,A4,第6节!V$3:V$313)</f>
        <v/>
      </c>
      <c r="AB4" s="16">
        <f>SUMIF(第6节!$A$3:$A$313,A4,第6节!W$3:W$313)</f>
        <v/>
      </c>
      <c r="AC4" s="16">
        <f>SUMIF(第6节!$A$3:$A$313,A4,第6节!X$3:X$313)</f>
        <v/>
      </c>
      <c r="AD4" s="18" t="n"/>
    </row>
    <row r="5" ht="22.5" customHeight="1">
      <c r="A5" s="14" t="inlineStr">
        <is>
          <t>张绪然</t>
        </is>
      </c>
      <c r="B5" s="14">
        <f>COUNTIF(第6节!$A$3:$A$313,A5)</f>
        <v/>
      </c>
      <c r="C5" s="15">
        <f>SUMIF(第6节!$A$3:$A$313,A5,第6节!$C$3:$C$313)-SUMIF(第6节!$A$3:$A$313,A5,第6节!$B$3:$B$313)</f>
        <v/>
      </c>
      <c r="D5" s="16">
        <f>SUMIF(第6节!$A$3:$A$313,A5,第6节!D$3:D$313)</f>
        <v/>
      </c>
      <c r="E5" s="16">
        <f>SUMIF(第6节!$A$3:$A$313,A5,第6节!E$3:E$313)</f>
        <v/>
      </c>
      <c r="F5" s="16">
        <f>SUMIF(第6节!$A$3:$A$313,A5,第6节!F$3:F$313)</f>
        <v/>
      </c>
      <c r="G5" s="44">
        <f>IF(D5=0,0,ROUND(F5/(D5*2),3))</f>
        <v/>
      </c>
      <c r="H5" s="16">
        <f>SUMIF(第6节!$A$3:$A$313,A5,第6节!G$3:G$313)</f>
        <v/>
      </c>
      <c r="I5" s="16">
        <f>SUMIF(第6节!$A$3:$A$313,A5,第6节!H$3:H$313)</f>
        <v/>
      </c>
      <c r="J5" s="16">
        <f>SUMIF(第6节!$A$3:$A$313,A5,第6节!I$3:I$313)</f>
        <v/>
      </c>
      <c r="K5" s="44">
        <f>IF(H5=0,0,ROUND(J5/(H5*2),3))</f>
        <v/>
      </c>
      <c r="L5" s="16">
        <f>SUMIF(第6节!$A$3:$A$313,A5,第6节!J$3:J$313)</f>
        <v/>
      </c>
      <c r="M5" s="16">
        <f>SUMIF(第6节!$A$3:$A$313,A5,第6节!K$3:K$313)</f>
        <v/>
      </c>
      <c r="N5" s="16">
        <f>SUMIF(第6节!$A$3:$A$313,A5,第6节!L$3:L$313)</f>
        <v/>
      </c>
      <c r="O5" s="44">
        <f>IF(L5=0,0,ROUND(N5/(L5*3),3))</f>
        <v/>
      </c>
      <c r="P5" s="16">
        <f>SUMIF(第6节!$A$3:$A$313,A5,第6节!M$3:M$313)</f>
        <v/>
      </c>
      <c r="Q5" s="16">
        <f>SUMIF(第6节!$A$3:$A$313,A5,第6节!N$3:N$313)</f>
        <v/>
      </c>
      <c r="R5" s="16">
        <f>SUMIF(第6节!$A$3:$A$313,A5,第6节!O$3:O$313)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SUMIF(第6节!$A$3:$A$313,A5,第6节!S$3:S$313)</f>
        <v/>
      </c>
      <c r="Y5" s="16">
        <f>SUMIF(第6节!$A$3:$A$313,A5,第6节!T$3:T$313)</f>
        <v/>
      </c>
      <c r="Z5" s="16">
        <f>X5+Y5</f>
        <v/>
      </c>
      <c r="AA5" s="16">
        <f>SUMIF(第6节!$A$3:$A$313,A5,第6节!V$3:V$313)</f>
        <v/>
      </c>
      <c r="AB5" s="16">
        <f>SUMIF(第6节!$A$3:$A$313,A5,第6节!W$3:W$313)</f>
        <v/>
      </c>
      <c r="AC5" s="16">
        <f>SUMIF(第6节!$A$3:$A$313,A5,第6节!X$3:X$313)</f>
        <v/>
      </c>
      <c r="AD5" s="18" t="n"/>
    </row>
    <row r="6" ht="22.5" customHeight="1">
      <c r="A6" s="14" t="inlineStr">
        <is>
          <t>雷奕梵</t>
        </is>
      </c>
      <c r="B6" s="14">
        <f>COUNTIF(第6节!$A$3:$A$313,A6)</f>
        <v/>
      </c>
      <c r="C6" s="15">
        <f>SUMIF(第6节!$A$3:$A$313,A6,第6节!$C$3:$C$313)-SUMIF(第6节!$A$3:$A$313,A6,第6节!$B$3:$B$313)</f>
        <v/>
      </c>
      <c r="D6" s="16">
        <f>SUMIF(第6节!$A$3:$A$313,A6,第6节!D$3:D$313)</f>
        <v/>
      </c>
      <c r="E6" s="16">
        <f>SUMIF(第6节!$A$3:$A$313,A6,第6节!E$3:E$313)</f>
        <v/>
      </c>
      <c r="F6" s="16">
        <f>SUMIF(第6节!$A$3:$A$313,A6,第6节!F$3:F$313)</f>
        <v/>
      </c>
      <c r="G6" s="44">
        <f>IF(D6=0,0,ROUND(F6/(D6*2),3))</f>
        <v/>
      </c>
      <c r="H6" s="16">
        <f>SUMIF(第6节!$A$3:$A$313,A6,第6节!G$3:G$313)</f>
        <v/>
      </c>
      <c r="I6" s="16">
        <f>SUMIF(第6节!$A$3:$A$313,A6,第6节!H$3:H$313)</f>
        <v/>
      </c>
      <c r="J6" s="16">
        <f>SUMIF(第6节!$A$3:$A$313,A6,第6节!I$3:I$313)</f>
        <v/>
      </c>
      <c r="K6" s="44">
        <f>IF(H6=0,0,ROUND(J6/(H6*2),3))</f>
        <v/>
      </c>
      <c r="L6" s="16">
        <f>SUMIF(第6节!$A$3:$A$313,A6,第6节!J$3:J$313)</f>
        <v/>
      </c>
      <c r="M6" s="16">
        <f>SUMIF(第6节!$A$3:$A$313,A6,第6节!K$3:K$313)</f>
        <v/>
      </c>
      <c r="N6" s="16">
        <f>SUMIF(第6节!$A$3:$A$313,A6,第6节!L$3:L$313)</f>
        <v/>
      </c>
      <c r="O6" s="44">
        <f>IF(L6=0,0,ROUND(N6/(L6*3),3))</f>
        <v/>
      </c>
      <c r="P6" s="16">
        <f>SUMIF(第6节!$A$3:$A$313,A6,第6节!M$3:M$313)</f>
        <v/>
      </c>
      <c r="Q6" s="16">
        <f>SUMIF(第6节!$A$3:$A$313,A6,第6节!N$3:N$313)</f>
        <v/>
      </c>
      <c r="R6" s="16">
        <f>SUMIF(第6节!$A$3:$A$313,A6,第6节!O$3:O$313)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SUMIF(第6节!$A$3:$A$313,A6,第6节!S$3:S$313)</f>
        <v/>
      </c>
      <c r="Y6" s="16">
        <f>SUMIF(第6节!$A$3:$A$313,A6,第6节!T$3:T$313)</f>
        <v/>
      </c>
      <c r="Z6" s="16">
        <f>X6+Y6</f>
        <v/>
      </c>
      <c r="AA6" s="16">
        <f>SUMIF(第6节!$A$3:$A$313,A6,第6节!V$3:V$313)</f>
        <v/>
      </c>
      <c r="AB6" s="16">
        <f>SUMIF(第6节!$A$3:$A$313,A6,第6节!W$3:W$313)</f>
        <v/>
      </c>
      <c r="AC6" s="16">
        <f>SUMIF(第6节!$A$3:$A$313,A6,第6节!X$3:X$313)</f>
        <v/>
      </c>
      <c r="AD6" s="18" t="n"/>
    </row>
    <row r="7" ht="22.5" customHeight="1">
      <c r="A7" s="14" t="inlineStr">
        <is>
          <t>洪浩哲</t>
        </is>
      </c>
      <c r="B7" s="14">
        <f>COUNTIF(第6节!$A$3:$A$313,A7)</f>
        <v/>
      </c>
      <c r="C7" s="15">
        <f>SUMIF(第6节!$A$3:$A$313,A7,第6节!$C$3:$C$313)-SUMIF(第6节!$A$3:$A$313,A7,第6节!$B$3:$B$313)</f>
        <v/>
      </c>
      <c r="D7" s="16">
        <f>SUMIF(第6节!$A$3:$A$313,A7,第6节!D$3:D$313)</f>
        <v/>
      </c>
      <c r="E7" s="16">
        <f>SUMIF(第6节!$A$3:$A$313,A7,第6节!E$3:E$313)</f>
        <v/>
      </c>
      <c r="F7" s="16">
        <f>SUMIF(第6节!$A$3:$A$313,A7,第6节!F$3:F$313)</f>
        <v/>
      </c>
      <c r="G7" s="44">
        <f>IF(D7=0,0,ROUND(F7/(D7*2),3))</f>
        <v/>
      </c>
      <c r="H7" s="16">
        <f>SUMIF(第6节!$A$3:$A$313,A7,第6节!G$3:G$313)</f>
        <v/>
      </c>
      <c r="I7" s="16">
        <f>SUMIF(第6节!$A$3:$A$313,A7,第6节!H$3:H$313)</f>
        <v/>
      </c>
      <c r="J7" s="16">
        <f>SUMIF(第6节!$A$3:$A$313,A7,第6节!I$3:I$313)</f>
        <v/>
      </c>
      <c r="K7" s="44">
        <f>IF(H7=0,0,ROUND(J7/(H7*2),3))</f>
        <v/>
      </c>
      <c r="L7" s="16">
        <f>SUMIF(第6节!$A$3:$A$313,A7,第6节!J$3:J$313)</f>
        <v/>
      </c>
      <c r="M7" s="16">
        <f>SUMIF(第6节!$A$3:$A$313,A7,第6节!K$3:K$313)</f>
        <v/>
      </c>
      <c r="N7" s="16">
        <f>SUMIF(第6节!$A$3:$A$313,A7,第6节!L$3:L$313)</f>
        <v/>
      </c>
      <c r="O7" s="44">
        <f>IF(L7=0,0,ROUND(N7/(L7*3),3))</f>
        <v/>
      </c>
      <c r="P7" s="16">
        <f>SUMIF(第6节!$A$3:$A$313,A7,第6节!M$3:M$313)</f>
        <v/>
      </c>
      <c r="Q7" s="16">
        <f>SUMIF(第6节!$A$3:$A$313,A7,第6节!N$3:N$313)</f>
        <v/>
      </c>
      <c r="R7" s="16">
        <f>SUMIF(第6节!$A$3:$A$313,A7,第6节!O$3:O$313)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SUMIF(第6节!$A$3:$A$313,A7,第6节!S$3:S$313)</f>
        <v/>
      </c>
      <c r="Y7" s="16">
        <f>SUMIF(第6节!$A$3:$A$313,A7,第6节!T$3:T$313)</f>
        <v/>
      </c>
      <c r="Z7" s="16">
        <f>X7+Y7</f>
        <v/>
      </c>
      <c r="AA7" s="16">
        <f>SUMIF(第6节!$A$3:$A$313,A7,第6节!V$3:V$313)</f>
        <v/>
      </c>
      <c r="AB7" s="16">
        <f>SUMIF(第6节!$A$3:$A$313,A7,第6节!W$3:W$313)</f>
        <v/>
      </c>
      <c r="AC7" s="16">
        <f>SUMIF(第6节!$A$3:$A$313,A7,第6节!X$3:X$313)</f>
        <v/>
      </c>
      <c r="AD7" s="18" t="n"/>
    </row>
    <row r="8" ht="22.5" customHeight="1">
      <c r="A8" s="14" t="inlineStr">
        <is>
          <t>刘炎昊</t>
        </is>
      </c>
      <c r="B8" s="14">
        <f>COUNTIF(第6节!$A$3:$A$313,A8)</f>
        <v/>
      </c>
      <c r="C8" s="15">
        <f>SUMIF(第6节!$A$3:$A$313,A8,第6节!$C$3:$C$313)-SUMIF(第6节!$A$3:$A$313,A8,第6节!$B$3:$B$313)</f>
        <v/>
      </c>
      <c r="D8" s="16">
        <f>SUMIF(第6节!$A$3:$A$313,A8,第6节!D$3:D$313)</f>
        <v/>
      </c>
      <c r="E8" s="16">
        <f>SUMIF(第6节!$A$3:$A$313,A8,第6节!E$3:E$313)</f>
        <v/>
      </c>
      <c r="F8" s="16">
        <f>SUMIF(第6节!$A$3:$A$313,A8,第6节!F$3:F$313)</f>
        <v/>
      </c>
      <c r="G8" s="44">
        <f>IF(D8=0,0,ROUND(F8/(D8*2),3))</f>
        <v/>
      </c>
      <c r="H8" s="16">
        <f>SUMIF(第6节!$A$3:$A$313,A8,第6节!G$3:G$313)</f>
        <v/>
      </c>
      <c r="I8" s="16">
        <f>SUMIF(第6节!$A$3:$A$313,A8,第6节!H$3:H$313)</f>
        <v/>
      </c>
      <c r="J8" s="16">
        <f>SUMIF(第6节!$A$3:$A$313,A8,第6节!I$3:I$313)</f>
        <v/>
      </c>
      <c r="K8" s="44">
        <f>IF(H8=0,0,ROUND(J8/(H8*2),3))</f>
        <v/>
      </c>
      <c r="L8" s="16">
        <f>SUMIF(第6节!$A$3:$A$313,A8,第6节!J$3:J$313)</f>
        <v/>
      </c>
      <c r="M8" s="16">
        <f>SUMIF(第6节!$A$3:$A$313,A8,第6节!K$3:K$313)</f>
        <v/>
      </c>
      <c r="N8" s="16">
        <f>SUMIF(第6节!$A$3:$A$313,A8,第6节!L$3:L$313)</f>
        <v/>
      </c>
      <c r="O8" s="44">
        <f>IF(L8=0,0,ROUND(N8/(L8*3),3))</f>
        <v/>
      </c>
      <c r="P8" s="16">
        <f>SUMIF(第6节!$A$3:$A$313,A8,第6节!M$3:M$313)</f>
        <v/>
      </c>
      <c r="Q8" s="16">
        <f>SUMIF(第6节!$A$3:$A$313,A8,第6节!N$3:N$313)</f>
        <v/>
      </c>
      <c r="R8" s="16">
        <f>SUMIF(第6节!$A$3:$A$313,A8,第6节!O$3:O$313)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SUMIF(第6节!$A$3:$A$313,A8,第6节!S$3:S$313)</f>
        <v/>
      </c>
      <c r="Y8" s="16">
        <f>SUMIF(第6节!$A$3:$A$313,A8,第6节!T$3:T$313)</f>
        <v/>
      </c>
      <c r="Z8" s="16">
        <f>X8+Y8</f>
        <v/>
      </c>
      <c r="AA8" s="16">
        <f>SUMIF(第6节!$A$3:$A$313,A8,第6节!V$3:V$313)</f>
        <v/>
      </c>
      <c r="AB8" s="16">
        <f>SUMIF(第6节!$A$3:$A$313,A8,第6节!W$3:W$313)</f>
        <v/>
      </c>
      <c r="AC8" s="16">
        <f>SUMIF(第6节!$A$3:$A$313,A8,第6节!X$3:X$313)</f>
        <v/>
      </c>
      <c r="AD8" s="18" t="n"/>
    </row>
    <row r="9" ht="22.5" customHeight="1">
      <c r="A9" s="14" t="inlineStr">
        <is>
          <t>施柏宇</t>
        </is>
      </c>
      <c r="B9" s="14">
        <f>COUNTIF(第6节!$A$3:$A$313,A9)</f>
        <v/>
      </c>
      <c r="C9" s="15">
        <f>SUMIF(第6节!$A$3:$A$313,A9,第6节!$C$3:$C$313)-SUMIF(第6节!$A$3:$A$313,A9,第6节!$B$3:$B$313)</f>
        <v/>
      </c>
      <c r="D9" s="16">
        <f>SUMIF(第6节!$A$3:$A$313,A9,第6节!D$3:D$313)</f>
        <v/>
      </c>
      <c r="E9" s="16">
        <f>SUMIF(第6节!$A$3:$A$313,A9,第6节!E$3:E$313)</f>
        <v/>
      </c>
      <c r="F9" s="16">
        <f>SUMIF(第6节!$A$3:$A$313,A9,第6节!F$3:F$313)</f>
        <v/>
      </c>
      <c r="G9" s="44">
        <f>IF(D9=0,0,ROUND(F9/(D9*2),3))</f>
        <v/>
      </c>
      <c r="H9" s="16">
        <f>SUMIF(第6节!$A$3:$A$313,A9,第6节!G$3:G$313)</f>
        <v/>
      </c>
      <c r="I9" s="16">
        <f>SUMIF(第6节!$A$3:$A$313,A9,第6节!H$3:H$313)</f>
        <v/>
      </c>
      <c r="J9" s="16">
        <f>SUMIF(第6节!$A$3:$A$313,A9,第6节!I$3:I$313)</f>
        <v/>
      </c>
      <c r="K9" s="44">
        <f>IF(H9=0,0,ROUND(J9/(H9*2),3))</f>
        <v/>
      </c>
      <c r="L9" s="16">
        <f>SUMIF(第6节!$A$3:$A$313,A9,第6节!J$3:J$313)</f>
        <v/>
      </c>
      <c r="M9" s="16">
        <f>SUMIF(第6节!$A$3:$A$313,A9,第6节!K$3:K$313)</f>
        <v/>
      </c>
      <c r="N9" s="16">
        <f>SUMIF(第6节!$A$3:$A$313,A9,第6节!L$3:L$313)</f>
        <v/>
      </c>
      <c r="O9" s="44">
        <f>IF(L9=0,0,ROUND(N9/(L9*3),3))</f>
        <v/>
      </c>
      <c r="P9" s="16">
        <f>SUMIF(第6节!$A$3:$A$313,A9,第6节!M$3:M$313)</f>
        <v/>
      </c>
      <c r="Q9" s="16">
        <f>SUMIF(第6节!$A$3:$A$313,A9,第6节!N$3:N$313)</f>
        <v/>
      </c>
      <c r="R9" s="16">
        <f>SUMIF(第6节!$A$3:$A$313,A9,第6节!O$3:O$313)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SUMIF(第6节!$A$3:$A$313,A9,第6节!S$3:S$313)</f>
        <v/>
      </c>
      <c r="Y9" s="16">
        <f>SUMIF(第6节!$A$3:$A$313,A9,第6节!T$3:T$313)</f>
        <v/>
      </c>
      <c r="Z9" s="16">
        <f>X9+Y9</f>
        <v/>
      </c>
      <c r="AA9" s="16">
        <f>SUMIF(第6节!$A$3:$A$313,A9,第6节!V$3:V$313)</f>
        <v/>
      </c>
      <c r="AB9" s="16">
        <f>SUMIF(第6节!$A$3:$A$313,A9,第6节!W$3:W$313)</f>
        <v/>
      </c>
      <c r="AC9" s="16">
        <f>SUMIF(第6节!$A$3:$A$313,A9,第6节!X$3:X$313)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COUNTIF(第6节!$A$3:$A$313,A9)</f>
        <v/>
      </c>
      <c r="C10" s="15">
        <f>SUMIF(第6节!$A$3:$A$313,A9,第6节!$C$3:$C$313)-SUMIF(第6节!$A$3:$A$313,A9,第6节!$B$3:$B$313)</f>
        <v/>
      </c>
      <c r="D10" s="16">
        <f>SUMIF(第6节!$A$3:$A$313,A9,第6节!D$3:D$313)</f>
        <v/>
      </c>
      <c r="E10" s="16">
        <f>SUMIF(第6节!$A$3:$A$313,A9,第6节!E$3:E$313)</f>
        <v/>
      </c>
      <c r="F10" s="16">
        <f>SUMIF(第6节!$A$3:$A$313,A9,第6节!F$3:F$313)</f>
        <v/>
      </c>
      <c r="G10" s="44">
        <f>IF(D9=0,0,ROUND(F9/(D9*2),3))</f>
        <v/>
      </c>
      <c r="H10" s="16">
        <f>SUMIF(第6节!$A$3:$A$313,A9,第6节!G$3:G$313)</f>
        <v/>
      </c>
      <c r="I10" s="16">
        <f>SUMIF(第6节!$A$3:$A$313,A9,第6节!H$3:H$313)</f>
        <v/>
      </c>
      <c r="J10" s="16">
        <f>SUMIF(第6节!$A$3:$A$313,A9,第6节!I$3:I$313)</f>
        <v/>
      </c>
      <c r="K10" s="44">
        <f>IF(H9=0,0,ROUND(J9/(H9*2),3))</f>
        <v/>
      </c>
      <c r="L10" s="16">
        <f>SUMIF(第6节!$A$3:$A$313,A9,第6节!J$3:J$313)</f>
        <v/>
      </c>
      <c r="M10" s="16">
        <f>SUMIF(第6节!$A$3:$A$313,A9,第6节!K$3:K$313)</f>
        <v/>
      </c>
      <c r="N10" s="16">
        <f>SUMIF(第6节!$A$3:$A$313,A9,第6节!L$3:L$313)</f>
        <v/>
      </c>
      <c r="O10" s="44">
        <f>IF(L9=0,0,ROUND(N9/(L9*3),3))</f>
        <v/>
      </c>
      <c r="P10" s="16">
        <f>SUMIF(第6节!$A$3:$A$313,A9,第6节!M$3:M$313)</f>
        <v/>
      </c>
      <c r="Q10" s="16">
        <f>SUMIF(第6节!$A$3:$A$313,A9,第6节!N$3:N$313)</f>
        <v/>
      </c>
      <c r="R10" s="16">
        <f>SUMIF(第6节!$A$3:$A$313,A9,第6节!O$3:O$313)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SUMIF(第6节!$A$3:$A$313,A9,第6节!S$3:S$313)</f>
        <v/>
      </c>
      <c r="Y10" s="16">
        <f>SUMIF(第6节!$A$3:$A$313,A9,第6节!T$3:T$313)</f>
        <v/>
      </c>
      <c r="Z10" s="16">
        <f>X9+Y9</f>
        <v/>
      </c>
      <c r="AA10" s="16">
        <f>SUMIF(第6节!$A$3:$A$313,A9,第6节!V$3:V$313)</f>
        <v/>
      </c>
      <c r="AB10" s="16">
        <f>SUMIF(第6节!$A$3:$A$313,A9,第6节!W$3:W$313)</f>
        <v/>
      </c>
      <c r="AC10" s="16">
        <f>SUMIF(第6节!$A$3:$A$313,A9,第6节!X$3:X$313)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COUNTIF(第6节!$A$3:$A$313,A9)</f>
        <v/>
      </c>
      <c r="C11" s="15">
        <f>SUMIF(第6节!$A$3:$A$313,A9,第6节!$C$3:$C$313)-SUMIF(第6节!$A$3:$A$313,A9,第6节!$B$3:$B$313)</f>
        <v/>
      </c>
      <c r="D11" s="16">
        <f>SUMIF(第6节!$A$3:$A$313,A9,第6节!D$3:D$313)</f>
        <v/>
      </c>
      <c r="E11" s="16">
        <f>SUMIF(第6节!$A$3:$A$313,A9,第6节!E$3:E$313)</f>
        <v/>
      </c>
      <c r="F11" s="16">
        <f>SUMIF(第6节!$A$3:$A$313,A9,第6节!F$3:F$313)</f>
        <v/>
      </c>
      <c r="G11" s="44">
        <f>IF(D9=0,0,ROUND(F9/(D9*2),3))</f>
        <v/>
      </c>
      <c r="H11" s="16">
        <f>SUMIF(第6节!$A$3:$A$313,A9,第6节!G$3:G$313)</f>
        <v/>
      </c>
      <c r="I11" s="16">
        <f>SUMIF(第6节!$A$3:$A$313,A9,第6节!H$3:H$313)</f>
        <v/>
      </c>
      <c r="J11" s="16">
        <f>SUMIF(第6节!$A$3:$A$313,A9,第6节!I$3:I$313)</f>
        <v/>
      </c>
      <c r="K11" s="44">
        <f>IF(H9=0,0,ROUND(J9/(H9*2),3))</f>
        <v/>
      </c>
      <c r="L11" s="16">
        <f>SUMIF(第6节!$A$3:$A$313,A9,第6节!J$3:J$313)</f>
        <v/>
      </c>
      <c r="M11" s="16">
        <f>SUMIF(第6节!$A$3:$A$313,A9,第6节!K$3:K$313)</f>
        <v/>
      </c>
      <c r="N11" s="16">
        <f>SUMIF(第6节!$A$3:$A$313,A9,第6节!L$3:L$313)</f>
        <v/>
      </c>
      <c r="O11" s="44">
        <f>IF(L9=0,0,ROUND(N9/(L9*3),3))</f>
        <v/>
      </c>
      <c r="P11" s="16">
        <f>SUMIF(第6节!$A$3:$A$313,A9,第6节!M$3:M$313)</f>
        <v/>
      </c>
      <c r="Q11" s="16">
        <f>SUMIF(第6节!$A$3:$A$313,A9,第6节!N$3:N$313)</f>
        <v/>
      </c>
      <c r="R11" s="16">
        <f>SUMIF(第6节!$A$3:$A$313,A9,第6节!O$3:O$313)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SUMIF(第6节!$A$3:$A$313,A9,第6节!S$3:S$313)</f>
        <v/>
      </c>
      <c r="Y11" s="16">
        <f>SUMIF(第6节!$A$3:$A$313,A9,第6节!T$3:T$313)</f>
        <v/>
      </c>
      <c r="Z11" s="16">
        <f>X9+Y9</f>
        <v/>
      </c>
      <c r="AA11" s="16">
        <f>SUMIF(第6节!$A$3:$A$313,A9,第6节!V$3:V$313)</f>
        <v/>
      </c>
      <c r="AB11" s="16">
        <f>SUMIF(第6节!$A$3:$A$313,A9,第6节!W$3:W$313)</f>
        <v/>
      </c>
      <c r="AC11" s="16">
        <f>SUMIF(第6节!$A$3:$A$313,A9,第6节!X$3:X$313)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COUNTIF(第6节!$A$3:$A$313,A9)</f>
        <v/>
      </c>
      <c r="C12" s="15">
        <f>SUMIF(第6节!$A$3:$A$313,A9,第6节!$C$3:$C$313)-SUMIF(第6节!$A$3:$A$313,A9,第6节!$B$3:$B$313)</f>
        <v/>
      </c>
      <c r="D12" s="16">
        <f>SUMIF(第6节!$A$3:$A$313,A9,第6节!D$3:D$313)</f>
        <v/>
      </c>
      <c r="E12" s="16">
        <f>SUMIF(第6节!$A$3:$A$313,A9,第6节!E$3:E$313)</f>
        <v/>
      </c>
      <c r="F12" s="16">
        <f>SUMIF(第6节!$A$3:$A$313,A9,第6节!F$3:F$313)</f>
        <v/>
      </c>
      <c r="G12" s="44">
        <f>IF(D9=0,0,ROUND(F9/(D9*2),3))</f>
        <v/>
      </c>
      <c r="H12" s="16">
        <f>SUMIF(第6节!$A$3:$A$313,A9,第6节!G$3:G$313)</f>
        <v/>
      </c>
      <c r="I12" s="16">
        <f>SUMIF(第6节!$A$3:$A$313,A9,第6节!H$3:H$313)</f>
        <v/>
      </c>
      <c r="J12" s="16">
        <f>SUMIF(第6节!$A$3:$A$313,A9,第6节!I$3:I$313)</f>
        <v/>
      </c>
      <c r="K12" s="44">
        <f>IF(H9=0,0,ROUND(J9/(H9*2),3))</f>
        <v/>
      </c>
      <c r="L12" s="16">
        <f>SUMIF(第6节!$A$3:$A$313,A9,第6节!J$3:J$313)</f>
        <v/>
      </c>
      <c r="M12" s="16">
        <f>SUMIF(第6节!$A$3:$A$313,A9,第6节!K$3:K$313)</f>
        <v/>
      </c>
      <c r="N12" s="16">
        <f>SUMIF(第6节!$A$3:$A$313,A9,第6节!L$3:L$313)</f>
        <v/>
      </c>
      <c r="O12" s="44">
        <f>IF(L9=0,0,ROUND(N9/(L9*3),3))</f>
        <v/>
      </c>
      <c r="P12" s="16">
        <f>SUMIF(第6节!$A$3:$A$313,A9,第6节!M$3:M$313)</f>
        <v/>
      </c>
      <c r="Q12" s="16">
        <f>SUMIF(第6节!$A$3:$A$313,A9,第6节!N$3:N$313)</f>
        <v/>
      </c>
      <c r="R12" s="16">
        <f>SUMIF(第6节!$A$3:$A$313,A9,第6节!O$3:O$313)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SUMIF(第6节!$A$3:$A$313,A9,第6节!S$3:S$313)</f>
        <v/>
      </c>
      <c r="Y12" s="16">
        <f>SUMIF(第6节!$A$3:$A$313,A9,第6节!T$3:T$313)</f>
        <v/>
      </c>
      <c r="Z12" s="16">
        <f>X9+Y9</f>
        <v/>
      </c>
      <c r="AA12" s="16">
        <f>SUMIF(第6节!$A$3:$A$313,A9,第6节!V$3:V$313)</f>
        <v/>
      </c>
      <c r="AB12" s="16">
        <f>SUMIF(第6节!$A$3:$A$313,A9,第6节!W$3:W$313)</f>
        <v/>
      </c>
      <c r="AC12" s="16">
        <f>SUMIF(第6节!$A$3:$A$313,A9,第6节!X$3:X$313)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COUNTIF(第6节!$A$3:$A$313,A9)</f>
        <v/>
      </c>
      <c r="C13" s="15">
        <f>SUMIF(第6节!$A$3:$A$313,A9,第6节!$C$3:$C$313)-SUMIF(第6节!$A$3:$A$313,A9,第6节!$B$3:$B$313)</f>
        <v/>
      </c>
      <c r="D13" s="16">
        <f>SUMIF(第6节!$A$3:$A$313,A9,第6节!D$3:D$313)</f>
        <v/>
      </c>
      <c r="E13" s="16">
        <f>SUMIF(第6节!$A$3:$A$313,A9,第6节!E$3:E$313)</f>
        <v/>
      </c>
      <c r="F13" s="16">
        <f>SUMIF(第6节!$A$3:$A$313,A9,第6节!F$3:F$313)</f>
        <v/>
      </c>
      <c r="G13" s="44">
        <f>IF(D9=0,0,ROUND(F9/(D9*2),3))</f>
        <v/>
      </c>
      <c r="H13" s="16">
        <f>SUMIF(第6节!$A$3:$A$313,A9,第6节!G$3:G$313)</f>
        <v/>
      </c>
      <c r="I13" s="16">
        <f>SUMIF(第6节!$A$3:$A$313,A9,第6节!H$3:H$313)</f>
        <v/>
      </c>
      <c r="J13" s="16">
        <f>SUMIF(第6节!$A$3:$A$313,A9,第6节!I$3:I$313)</f>
        <v/>
      </c>
      <c r="K13" s="44">
        <f>IF(H9=0,0,ROUND(J9/(H9*2),3))</f>
        <v/>
      </c>
      <c r="L13" s="16">
        <f>SUMIF(第6节!$A$3:$A$313,A9,第6节!J$3:J$313)</f>
        <v/>
      </c>
      <c r="M13" s="16">
        <f>SUMIF(第6节!$A$3:$A$313,A9,第6节!K$3:K$313)</f>
        <v/>
      </c>
      <c r="N13" s="16">
        <f>SUMIF(第6节!$A$3:$A$313,A9,第6节!L$3:L$313)</f>
        <v/>
      </c>
      <c r="O13" s="44">
        <f>IF(L9=0,0,ROUND(N9/(L9*3),3))</f>
        <v/>
      </c>
      <c r="P13" s="16">
        <f>SUMIF(第6节!$A$3:$A$313,A9,第6节!M$3:M$313)</f>
        <v/>
      </c>
      <c r="Q13" s="16">
        <f>SUMIF(第6节!$A$3:$A$313,A9,第6节!N$3:N$313)</f>
        <v/>
      </c>
      <c r="R13" s="16">
        <f>SUMIF(第6节!$A$3:$A$313,A9,第6节!O$3:O$313)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SUMIF(第6节!$A$3:$A$313,A9,第6节!S$3:S$313)</f>
        <v/>
      </c>
      <c r="Y13" s="16">
        <f>SUMIF(第6节!$A$3:$A$313,A9,第6节!T$3:T$313)</f>
        <v/>
      </c>
      <c r="Z13" s="16">
        <f>X9+Y9</f>
        <v/>
      </c>
      <c r="AA13" s="16">
        <f>SUMIF(第6节!$A$3:$A$313,A9,第6节!V$3:V$313)</f>
        <v/>
      </c>
      <c r="AB13" s="16">
        <f>SUMIF(第6节!$A$3:$A$313,A9,第6节!W$3:W$313)</f>
        <v/>
      </c>
      <c r="AC13" s="16">
        <f>SUMIF(第6节!$A$3:$A$313,A9,第6节!X$3:X$313)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COUNTIF(第6节!$A$3:$A$313,A9)</f>
        <v/>
      </c>
      <c r="C14" s="15">
        <f>SUMIF(第6节!$A$3:$A$313,A9,第6节!$C$3:$C$313)-SUMIF(第6节!$A$3:$A$313,A9,第6节!$B$3:$B$313)</f>
        <v/>
      </c>
      <c r="D14" s="16">
        <f>SUMIF(第6节!$A$3:$A$313,A9,第6节!D$3:D$313)</f>
        <v/>
      </c>
      <c r="E14" s="16">
        <f>SUMIF(第6节!$A$3:$A$313,A9,第6节!E$3:E$313)</f>
        <v/>
      </c>
      <c r="F14" s="16">
        <f>SUMIF(第6节!$A$3:$A$313,A9,第6节!F$3:F$313)</f>
        <v/>
      </c>
      <c r="G14" s="44">
        <f>IF(D9=0,0,ROUND(F9/(D9*2),3))</f>
        <v/>
      </c>
      <c r="H14" s="16">
        <f>SUMIF(第6节!$A$3:$A$313,A9,第6节!G$3:G$313)</f>
        <v/>
      </c>
      <c r="I14" s="16">
        <f>SUMIF(第6节!$A$3:$A$313,A9,第6节!H$3:H$313)</f>
        <v/>
      </c>
      <c r="J14" s="16">
        <f>SUMIF(第6节!$A$3:$A$313,A9,第6节!I$3:I$313)</f>
        <v/>
      </c>
      <c r="K14" s="44">
        <f>IF(H9=0,0,ROUND(J9/(H9*2),3))</f>
        <v/>
      </c>
      <c r="L14" s="16">
        <f>SUMIF(第6节!$A$3:$A$313,A9,第6节!J$3:J$313)</f>
        <v/>
      </c>
      <c r="M14" s="16">
        <f>SUMIF(第6节!$A$3:$A$313,A9,第6节!K$3:K$313)</f>
        <v/>
      </c>
      <c r="N14" s="16">
        <f>SUMIF(第6节!$A$3:$A$313,A9,第6节!L$3:L$313)</f>
        <v/>
      </c>
      <c r="O14" s="44">
        <f>IF(L9=0,0,ROUND(N9/(L9*3),3))</f>
        <v/>
      </c>
      <c r="P14" s="16">
        <f>SUMIF(第6节!$A$3:$A$313,A9,第6节!M$3:M$313)</f>
        <v/>
      </c>
      <c r="Q14" s="16">
        <f>SUMIF(第6节!$A$3:$A$313,A9,第6节!N$3:N$313)</f>
        <v/>
      </c>
      <c r="R14" s="16">
        <f>SUMIF(第6节!$A$3:$A$313,A9,第6节!O$3:O$313)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SUMIF(第6节!$A$3:$A$313,A9,第6节!S$3:S$313)</f>
        <v/>
      </c>
      <c r="Y14" s="16">
        <f>SUMIF(第6节!$A$3:$A$313,A9,第6节!T$3:T$313)</f>
        <v/>
      </c>
      <c r="Z14" s="16">
        <f>X9+Y9</f>
        <v/>
      </c>
      <c r="AA14" s="16">
        <f>SUMIF(第6节!$A$3:$A$313,A9,第6节!V$3:V$313)</f>
        <v/>
      </c>
      <c r="AB14" s="16">
        <f>SUMIF(第6节!$A$3:$A$313,A9,第6节!W$3:W$313)</f>
        <v/>
      </c>
      <c r="AC14" s="16">
        <f>SUMIF(第6节!$A$3:$A$313,A9,第6节!X$3:X$313)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COUNTIF(第6节!$A$3:$A$313,A9)</f>
        <v/>
      </c>
      <c r="C15" s="15">
        <f>SUMIF(第6节!$A$3:$A$313,A9,第6节!$C$3:$C$313)-SUMIF(第6节!$A$3:$A$313,A9,第6节!$B$3:$B$313)</f>
        <v/>
      </c>
      <c r="D15" s="16">
        <f>SUMIF(第6节!$A$3:$A$313,A9,第6节!D$3:D$313)</f>
        <v/>
      </c>
      <c r="E15" s="16">
        <f>SUMIF(第6节!$A$3:$A$313,A9,第6节!E$3:E$313)</f>
        <v/>
      </c>
      <c r="F15" s="16">
        <f>SUMIF(第6节!$A$3:$A$313,A9,第6节!F$3:F$313)</f>
        <v/>
      </c>
      <c r="G15" s="44">
        <f>IF(D9=0,0,ROUND(F9/(D9*2),3))</f>
        <v/>
      </c>
      <c r="H15" s="16">
        <f>SUMIF(第6节!$A$3:$A$313,A9,第6节!G$3:G$313)</f>
        <v/>
      </c>
      <c r="I15" s="16">
        <f>SUMIF(第6节!$A$3:$A$313,A9,第6节!H$3:H$313)</f>
        <v/>
      </c>
      <c r="J15" s="16">
        <f>SUMIF(第6节!$A$3:$A$313,A9,第6节!I$3:I$313)</f>
        <v/>
      </c>
      <c r="K15" s="44">
        <f>IF(H9=0,0,ROUND(J9/(H9*2),3))</f>
        <v/>
      </c>
      <c r="L15" s="16">
        <f>SUMIF(第6节!$A$3:$A$313,A9,第6节!J$3:J$313)</f>
        <v/>
      </c>
      <c r="M15" s="16">
        <f>SUMIF(第6节!$A$3:$A$313,A9,第6节!K$3:K$313)</f>
        <v/>
      </c>
      <c r="N15" s="16">
        <f>SUMIF(第6节!$A$3:$A$313,A9,第6节!L$3:L$313)</f>
        <v/>
      </c>
      <c r="O15" s="44">
        <f>IF(L9=0,0,ROUND(N9/(L9*3),3))</f>
        <v/>
      </c>
      <c r="P15" s="16">
        <f>SUMIF(第6节!$A$3:$A$313,A9,第6节!M$3:M$313)</f>
        <v/>
      </c>
      <c r="Q15" s="16">
        <f>SUMIF(第6节!$A$3:$A$313,A9,第6节!N$3:N$313)</f>
        <v/>
      </c>
      <c r="R15" s="16">
        <f>SUMIF(第6节!$A$3:$A$313,A9,第6节!O$3:O$313)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SUMIF(第6节!$A$3:$A$313,A9,第6节!S$3:S$313)</f>
        <v/>
      </c>
      <c r="Y15" s="16">
        <f>SUMIF(第6节!$A$3:$A$313,A9,第6节!T$3:T$313)</f>
        <v/>
      </c>
      <c r="Z15" s="16">
        <f>X9+Y9</f>
        <v/>
      </c>
      <c r="AA15" s="16">
        <f>SUMIF(第6节!$A$3:$A$313,A9,第6节!V$3:V$313)</f>
        <v/>
      </c>
      <c r="AB15" s="16">
        <f>SUMIF(第6节!$A$3:$A$313,A9,第6节!W$3:W$313)</f>
        <v/>
      </c>
      <c r="AC15" s="16">
        <f>SUMIF(第6节!$A$3:$A$313,A9,第6节!X$3:X$313)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SUMPRODUCT(COUNTIF($A$11:$A$17,第6节!$A$3:$A$313))</f>
        <v/>
      </c>
      <c r="C16" s="20">
        <f>SUMPRODUCT(COUNTIF($A$11:$A$17,第6节!$A$3:$A$313),第6节!$C$3:$C$313)-SUMPRODUCT(COUNTIF($A$11:$A$17,第6节!$A$3:$A$313),第6节!$B$3:$B$313)</f>
        <v/>
      </c>
      <c r="D16" s="19">
        <f>SUMPRODUCT(COUNTIF($A$11:$A$17,第6节!$A$3:$A$313),第6节!D$3:D$313)</f>
        <v/>
      </c>
      <c r="E16" s="19">
        <f>SUMPRODUCT(COUNTIF($A$11:$A$17,第6节!$A$3:$A$313),第6节!E$3:E$313)</f>
        <v/>
      </c>
      <c r="F16" s="19">
        <f>SUMPRODUCT(COUNTIF($A$11:$A$17,第6节!$A$3:$A$313),第6节!F$3:F$313)</f>
        <v/>
      </c>
      <c r="G16" s="45">
        <f>IF(D10=0,0,ROUND(F10/(D10*2),3))</f>
        <v/>
      </c>
      <c r="H16" s="19">
        <f>SUMPRODUCT(COUNTIF($A$11:$A$17,第6节!$A$3:$A$313),第6节!G$3:G$313)</f>
        <v/>
      </c>
      <c r="I16" s="19">
        <f>SUMPRODUCT(COUNTIF($A$11:$A$17,第6节!$A$3:$A$313),第6节!H$3:H$313)</f>
        <v/>
      </c>
      <c r="J16" s="19">
        <f>SUMPRODUCT(COUNTIF($A$11:$A$17,第6节!$A$3:$A$313),第6节!I$3:I$313)</f>
        <v/>
      </c>
      <c r="K16" s="45">
        <f>IF(H10=0,0,ROUND(J10/(H10*2),3))</f>
        <v/>
      </c>
      <c r="L16" s="19">
        <f>SUMPRODUCT(COUNTIF($A$11:$A$17,第6节!$A$3:$A$313),第6节!J$3:J$313)</f>
        <v/>
      </c>
      <c r="M16" s="19">
        <f>SUMPRODUCT(COUNTIF($A$11:$A$17,第6节!$A$3:$A$313),第6节!K$3:K$313)</f>
        <v/>
      </c>
      <c r="N16" s="19">
        <f>SUMPRODUCT(COUNTIF($A$11:$A$17,第6节!$A$3:$A$313),第6节!L$3:L$313)</f>
        <v/>
      </c>
      <c r="O16" s="45">
        <f>IF(L10=0,0,ROUND(N10/(L10*3),3))</f>
        <v/>
      </c>
      <c r="P16" s="19">
        <f>SUMPRODUCT(COUNTIF($A$11:$A$17,第6节!$A$3:$A$313),第6节!M$3:M$313)</f>
        <v/>
      </c>
      <c r="Q16" s="19">
        <f>SUMPRODUCT(COUNTIF($A$11:$A$17,第6节!$A$3:$A$313),第6节!N$3:N$313)</f>
        <v/>
      </c>
      <c r="R16" s="19">
        <f>SUMPRODUCT(COUNTIF($A$11:$A$17,第6节!$A$3:$A$313),第6节!O$3:O$313)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SUMPRODUCT(COUNTIF($A$11:$A$17,第6节!$A$3:$A$313),第6节!S$3:S$313)</f>
        <v/>
      </c>
      <c r="Y16" s="19">
        <f>SUMPRODUCT(COUNTIF($A$11:$A$17,第6节!$A$3:$A$313),第6节!T$3:T$313)</f>
        <v/>
      </c>
      <c r="Z16" s="19">
        <f>X10+Y10</f>
        <v/>
      </c>
      <c r="AA16" s="19">
        <f>SUMPRODUCT(COUNTIF($A$11:$A$17,第6节!$A$3:$A$313),第6节!V$3:V$313)</f>
        <v/>
      </c>
      <c r="AB16" s="19">
        <f>SUMPRODUCT(COUNTIF($A$11:$A$17,第6节!$A$3:$A$313),第6节!W$3:W$313)</f>
        <v/>
      </c>
      <c r="AC16" s="19">
        <f>SUMPRODUCT(COUNTIF($A$11:$A$17,第6节!$A$3:$A$313),第6节!X$3:X$313)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COUNTIF(第6节!$A$3:$A$313,A11)</f>
        <v/>
      </c>
      <c r="C17" s="24">
        <f>SUMIF(第6节!$A$3:$A$313,A11,第6节!$C$3:$C$313)-SUMIF(第6节!$A$3:$A$313,A11,第6节!$B$3:$B$313)</f>
        <v/>
      </c>
      <c r="D17" s="25">
        <f>SUMIF(第6节!$A$3:$A$313,A11,第6节!D$3:D$313)</f>
        <v/>
      </c>
      <c r="E17" s="25">
        <f>SUMIF(第6节!$A$3:$A$313,A11,第6节!E$3:E$313)</f>
        <v/>
      </c>
      <c r="F17" s="25">
        <f>SUMIF(第6节!$A$3:$A$313,A11,第6节!F$3:F$313)</f>
        <v/>
      </c>
      <c r="G17" s="46">
        <f>IF(D11=0,0,ROUND(F11/(D11*2),3))</f>
        <v/>
      </c>
      <c r="H17" s="25">
        <f>SUMIF(第6节!$A$3:$A$313,A11,第6节!G$3:G$313)</f>
        <v/>
      </c>
      <c r="I17" s="25">
        <f>SUMIF(第6节!$A$3:$A$313,A11,第6节!H$3:H$313)</f>
        <v/>
      </c>
      <c r="J17" s="25">
        <f>SUMIF(第6节!$A$3:$A$313,A11,第6节!I$3:I$313)</f>
        <v/>
      </c>
      <c r="K17" s="46">
        <f>IF(H11=0,0,ROUND(J11/(H11*2),3))</f>
        <v/>
      </c>
      <c r="L17" s="25">
        <f>SUMIF(第6节!$A$3:$A$313,A11,第6节!J$3:J$313)</f>
        <v/>
      </c>
      <c r="M17" s="25">
        <f>SUMIF(第6节!$A$3:$A$313,A11,第6节!K$3:K$313)</f>
        <v/>
      </c>
      <c r="N17" s="25">
        <f>SUMIF(第6节!$A$3:$A$313,A11,第6节!L$3:L$313)</f>
        <v/>
      </c>
      <c r="O17" s="46">
        <f>IF(L11=0,0,ROUND(N11/(L11*3),3))</f>
        <v/>
      </c>
      <c r="P17" s="25">
        <f>SUMIF(第6节!$A$3:$A$313,A11,第6节!M$3:M$313)</f>
        <v/>
      </c>
      <c r="Q17" s="25">
        <f>SUMIF(第6节!$A$3:$A$313,A11,第6节!N$3:N$313)</f>
        <v/>
      </c>
      <c r="R17" s="25">
        <f>SUMIF(第6节!$A$3:$A$313,A11,第6节!O$3:O$313)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SUMIF(第6节!$A$3:$A$313,A11,第6节!S$3:S$313)</f>
        <v/>
      </c>
      <c r="Y17" s="25">
        <f>SUMIF(第6节!$A$3:$A$313,A11,第6节!T$3:T$313)</f>
        <v/>
      </c>
      <c r="Z17" s="25">
        <f>X11+Y11</f>
        <v/>
      </c>
      <c r="AA17" s="25">
        <f>SUMIF(第6节!$A$3:$A$313,A11,第6节!V$3:V$313)</f>
        <v/>
      </c>
      <c r="AB17" s="25">
        <f>SUMIF(第6节!$A$3:$A$313,A11,第6节!W$3:W$313)</f>
        <v/>
      </c>
      <c r="AC17" s="25">
        <f>SUMIF(第6节!$A$3:$A$313,A11,第6节!X$3:X$313)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COUNTIF(第6节!$A$3:$A$313,A12)</f>
        <v/>
      </c>
      <c r="C18" s="24">
        <f>SUMIF(第6节!$A$3:$A$313,A12,第6节!$C$3:$C$313)-SUMIF(第6节!$A$3:$A$313,A12,第6节!$B$3:$B$313)</f>
        <v/>
      </c>
      <c r="D18" s="25">
        <f>SUMIF(第6节!$A$3:$A$313,A12,第6节!D$3:D$313)</f>
        <v/>
      </c>
      <c r="E18" s="25">
        <f>SUMIF(第6节!$A$3:$A$313,A12,第6节!E$3:E$313)</f>
        <v/>
      </c>
      <c r="F18" s="25">
        <f>SUMIF(第6节!$A$3:$A$313,A12,第6节!F$3:F$313)</f>
        <v/>
      </c>
      <c r="G18" s="46">
        <f>IF(D12=0,0,ROUND(F12/(D12*2),3))</f>
        <v/>
      </c>
      <c r="H18" s="25">
        <f>SUMIF(第6节!$A$3:$A$313,A12,第6节!G$3:G$313)</f>
        <v/>
      </c>
      <c r="I18" s="25">
        <f>SUMIF(第6节!$A$3:$A$313,A12,第6节!H$3:H$313)</f>
        <v/>
      </c>
      <c r="J18" s="25">
        <f>SUMIF(第6节!$A$3:$A$313,A12,第6节!I$3:I$313)</f>
        <v/>
      </c>
      <c r="K18" s="46">
        <f>IF(H12=0,0,ROUND(J12/(H12*2),3))</f>
        <v/>
      </c>
      <c r="L18" s="25">
        <f>SUMIF(第6节!$A$3:$A$313,A12,第6节!J$3:J$313)</f>
        <v/>
      </c>
      <c r="M18" s="25">
        <f>SUMIF(第6节!$A$3:$A$313,A12,第6节!K$3:K$313)</f>
        <v/>
      </c>
      <c r="N18" s="25">
        <f>SUMIF(第6节!$A$3:$A$313,A12,第6节!L$3:L$313)</f>
        <v/>
      </c>
      <c r="O18" s="46">
        <f>IF(L12=0,0,ROUND(N12/(L12*3),3))</f>
        <v/>
      </c>
      <c r="P18" s="25">
        <f>SUMIF(第6节!$A$3:$A$313,A12,第6节!M$3:M$313)</f>
        <v/>
      </c>
      <c r="Q18" s="25">
        <f>SUMIF(第6节!$A$3:$A$313,A12,第6节!N$3:N$313)</f>
        <v/>
      </c>
      <c r="R18" s="25">
        <f>SUMIF(第6节!$A$3:$A$313,A12,第6节!O$3:O$313)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SUMIF(第6节!$A$3:$A$313,A12,第6节!S$3:S$313)</f>
        <v/>
      </c>
      <c r="Y18" s="25">
        <f>SUMIF(第6节!$A$3:$A$313,A12,第6节!T$3:T$313)</f>
        <v/>
      </c>
      <c r="Z18" s="25">
        <f>X12+Y12</f>
        <v/>
      </c>
      <c r="AA18" s="25">
        <f>SUMIF(第6节!$A$3:$A$313,A12,第6节!V$3:V$313)</f>
        <v/>
      </c>
      <c r="AB18" s="25">
        <f>SUMIF(第6节!$A$3:$A$313,A12,第6节!W$3:W$313)</f>
        <v/>
      </c>
      <c r="AC18" s="25">
        <f>SUMIF(第6节!$A$3:$A$313,A12,第6节!X$3:X$313)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COUNTIF(第6节!$A$3:$A$313,A13)</f>
        <v/>
      </c>
      <c r="C19" s="24">
        <f>SUMIF(第6节!$A$3:$A$313,A13,第6节!$C$3:$C$313)-SUMIF(第6节!$A$3:$A$313,A13,第6节!$B$3:$B$313)</f>
        <v/>
      </c>
      <c r="D19" s="25">
        <f>SUMIF(第6节!$A$3:$A$313,A13,第6节!D$3:D$313)</f>
        <v/>
      </c>
      <c r="E19" s="25">
        <f>SUMIF(第6节!$A$3:$A$313,A13,第6节!E$3:E$313)</f>
        <v/>
      </c>
      <c r="F19" s="25">
        <f>SUMIF(第6节!$A$3:$A$313,A13,第6节!F$3:F$313)</f>
        <v/>
      </c>
      <c r="G19" s="46">
        <f>IF(D13=0,0,ROUND(F13/(D13*2),3))</f>
        <v/>
      </c>
      <c r="H19" s="25">
        <f>SUMIF(第6节!$A$3:$A$313,A13,第6节!G$3:G$313)</f>
        <v/>
      </c>
      <c r="I19" s="25">
        <f>SUMIF(第6节!$A$3:$A$313,A13,第6节!H$3:H$313)</f>
        <v/>
      </c>
      <c r="J19" s="25">
        <f>SUMIF(第6节!$A$3:$A$313,A13,第6节!I$3:I$313)</f>
        <v/>
      </c>
      <c r="K19" s="46">
        <f>IF(H13=0,0,ROUND(J13/(H13*2),3))</f>
        <v/>
      </c>
      <c r="L19" s="25">
        <f>SUMIF(第6节!$A$3:$A$313,A13,第6节!J$3:J$313)</f>
        <v/>
      </c>
      <c r="M19" s="25">
        <f>SUMIF(第6节!$A$3:$A$313,A13,第6节!K$3:K$313)</f>
        <v/>
      </c>
      <c r="N19" s="25">
        <f>SUMIF(第6节!$A$3:$A$313,A13,第6节!L$3:L$313)</f>
        <v/>
      </c>
      <c r="O19" s="46">
        <f>IF(L13=0,0,ROUND(N13/(L13*3),3))</f>
        <v/>
      </c>
      <c r="P19" s="25">
        <f>SUMIF(第6节!$A$3:$A$313,A13,第6节!M$3:M$313)</f>
        <v/>
      </c>
      <c r="Q19" s="25">
        <f>SUMIF(第6节!$A$3:$A$313,A13,第6节!N$3:N$313)</f>
        <v/>
      </c>
      <c r="R19" s="25">
        <f>SUMIF(第6节!$A$3:$A$313,A13,第6节!O$3:O$313)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SUMIF(第6节!$A$3:$A$313,A13,第6节!S$3:S$313)</f>
        <v/>
      </c>
      <c r="Y19" s="25">
        <f>SUMIF(第6节!$A$3:$A$313,A13,第6节!T$3:T$313)</f>
        <v/>
      </c>
      <c r="Z19" s="25">
        <f>X13+Y13</f>
        <v/>
      </c>
      <c r="AA19" s="25">
        <f>SUMIF(第6节!$A$3:$A$313,A13,第6节!V$3:V$313)</f>
        <v/>
      </c>
      <c r="AB19" s="25">
        <f>SUMIF(第6节!$A$3:$A$313,A13,第6节!W$3:W$313)</f>
        <v/>
      </c>
      <c r="AC19" s="25">
        <f>SUMIF(第6节!$A$3:$A$313,A13,第6节!X$3:X$313)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COUNTIF(第6节!$A$3:$A$313,A14)</f>
        <v/>
      </c>
      <c r="C20" s="24">
        <f>SUMIF(第6节!$A$3:$A$313,A14,第6节!$C$3:$C$313)-SUMIF(第6节!$A$3:$A$313,A14,第6节!$B$3:$B$313)</f>
        <v/>
      </c>
      <c r="D20" s="25">
        <f>SUMIF(第6节!$A$3:$A$313,A14,第6节!D$3:D$313)</f>
        <v/>
      </c>
      <c r="E20" s="25">
        <f>SUMIF(第6节!$A$3:$A$313,A14,第6节!E$3:E$313)</f>
        <v/>
      </c>
      <c r="F20" s="25">
        <f>SUMIF(第6节!$A$3:$A$313,A14,第6节!F$3:F$313)</f>
        <v/>
      </c>
      <c r="G20" s="46">
        <f>IF(D14=0,0,ROUND(F14/(D14*2),3))</f>
        <v/>
      </c>
      <c r="H20" s="25">
        <f>SUMIF(第6节!$A$3:$A$313,A14,第6节!G$3:G$313)</f>
        <v/>
      </c>
      <c r="I20" s="25">
        <f>SUMIF(第6节!$A$3:$A$313,A14,第6节!H$3:H$313)</f>
        <v/>
      </c>
      <c r="J20" s="25">
        <f>SUMIF(第6节!$A$3:$A$313,A14,第6节!I$3:I$313)</f>
        <v/>
      </c>
      <c r="K20" s="46">
        <f>IF(H14=0,0,ROUND(J14/(H14*2),3))</f>
        <v/>
      </c>
      <c r="L20" s="25">
        <f>SUMIF(第6节!$A$3:$A$313,A14,第6节!J$3:J$313)</f>
        <v/>
      </c>
      <c r="M20" s="25">
        <f>SUMIF(第6节!$A$3:$A$313,A14,第6节!K$3:K$313)</f>
        <v/>
      </c>
      <c r="N20" s="25">
        <f>SUMIF(第6节!$A$3:$A$313,A14,第6节!L$3:L$313)</f>
        <v/>
      </c>
      <c r="O20" s="46">
        <f>IF(L14=0,0,ROUND(N14/(L14*3),3))</f>
        <v/>
      </c>
      <c r="P20" s="25">
        <f>SUMIF(第6节!$A$3:$A$313,A14,第6节!M$3:M$313)</f>
        <v/>
      </c>
      <c r="Q20" s="25">
        <f>SUMIF(第6节!$A$3:$A$313,A14,第6节!N$3:N$313)</f>
        <v/>
      </c>
      <c r="R20" s="25">
        <f>SUMIF(第6节!$A$3:$A$313,A14,第6节!O$3:O$313)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SUMIF(第6节!$A$3:$A$313,A14,第6节!S$3:S$313)</f>
        <v/>
      </c>
      <c r="Y20" s="25">
        <f>SUMIF(第6节!$A$3:$A$313,A14,第6节!T$3:T$313)</f>
        <v/>
      </c>
      <c r="Z20" s="25">
        <f>X14+Y14</f>
        <v/>
      </c>
      <c r="AA20" s="25">
        <f>SUMIF(第6节!$A$3:$A$313,A14,第6节!V$3:V$313)</f>
        <v/>
      </c>
      <c r="AB20" s="25">
        <f>SUMIF(第6节!$A$3:$A$313,A14,第6节!W$3:W$313)</f>
        <v/>
      </c>
      <c r="AC20" s="25">
        <f>SUMIF(第6节!$A$3:$A$313,A14,第6节!X$3:X$313)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COUNTIF(第6节!$A$3:$A$313,A15)</f>
        <v/>
      </c>
      <c r="C21" s="24">
        <f>SUMIF(第6节!$A$3:$A$313,A15,第6节!$C$3:$C$313)-SUMIF(第6节!$A$3:$A$313,A15,第6节!$B$3:$B$313)</f>
        <v/>
      </c>
      <c r="D21" s="25">
        <f>SUMIF(第6节!$A$3:$A$313,A15,第6节!D$3:D$313)</f>
        <v/>
      </c>
      <c r="E21" s="25">
        <f>SUMIF(第6节!$A$3:$A$313,A15,第6节!E$3:E$313)</f>
        <v/>
      </c>
      <c r="F21" s="25">
        <f>SUMIF(第6节!$A$3:$A$313,A15,第6节!F$3:F$313)</f>
        <v/>
      </c>
      <c r="G21" s="46">
        <f>IF(D15=0,0,ROUND(F15/(D15*2),3))</f>
        <v/>
      </c>
      <c r="H21" s="25">
        <f>SUMIF(第6节!$A$3:$A$313,A15,第6节!G$3:G$313)</f>
        <v/>
      </c>
      <c r="I21" s="25">
        <f>SUMIF(第6节!$A$3:$A$313,A15,第6节!H$3:H$313)</f>
        <v/>
      </c>
      <c r="J21" s="25">
        <f>SUMIF(第6节!$A$3:$A$313,A15,第6节!I$3:I$313)</f>
        <v/>
      </c>
      <c r="K21" s="46">
        <f>IF(H15=0,0,ROUND(J15/(H15*2),3))</f>
        <v/>
      </c>
      <c r="L21" s="25">
        <f>SUMIF(第6节!$A$3:$A$313,A15,第6节!J$3:J$313)</f>
        <v/>
      </c>
      <c r="M21" s="25">
        <f>SUMIF(第6节!$A$3:$A$313,A15,第6节!K$3:K$313)</f>
        <v/>
      </c>
      <c r="N21" s="25">
        <f>SUMIF(第6节!$A$3:$A$313,A15,第6节!L$3:L$313)</f>
        <v/>
      </c>
      <c r="O21" s="46">
        <f>IF(L15=0,0,ROUND(N15/(L15*3),3))</f>
        <v/>
      </c>
      <c r="P21" s="25">
        <f>SUMIF(第6节!$A$3:$A$313,A15,第6节!M$3:M$313)</f>
        <v/>
      </c>
      <c r="Q21" s="25">
        <f>SUMIF(第6节!$A$3:$A$313,A15,第6节!N$3:N$313)</f>
        <v/>
      </c>
      <c r="R21" s="25">
        <f>SUMIF(第6节!$A$3:$A$313,A15,第6节!O$3:O$313)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SUMIF(第6节!$A$3:$A$313,A15,第6节!S$3:S$313)</f>
        <v/>
      </c>
      <c r="Y21" s="25">
        <f>SUMIF(第6节!$A$3:$A$313,A15,第6节!T$3:T$313)</f>
        <v/>
      </c>
      <c r="Z21" s="25">
        <f>X15+Y15</f>
        <v/>
      </c>
      <c r="AA21" s="25">
        <f>SUMIF(第6节!$A$3:$A$313,A15,第6节!V$3:V$313)</f>
        <v/>
      </c>
      <c r="AB21" s="25">
        <f>SUMIF(第6节!$A$3:$A$313,A15,第6节!W$3:W$313)</f>
        <v/>
      </c>
      <c r="AC21" s="25">
        <f>SUMIF(第6节!$A$3:$A$313,A15,第6节!X$3:X$313)</f>
        <v/>
      </c>
      <c r="AD21" s="27" t="n"/>
    </row>
    <row r="22">
      <c r="A22" s="23" t="inlineStr">
        <is>
          <t>许馨墨</t>
        </is>
      </c>
      <c r="B22" s="23">
        <f>COUNTIF(第6节!$A$3:$A$313,A16)</f>
        <v/>
      </c>
      <c r="C22" s="24">
        <f>SUMIF(第6节!$A$3:$A$313,A16,第6节!$C$3:$C$313)-SUMIF(第6节!$A$3:$A$313,A16,第6节!$B$3:$B$313)</f>
        <v/>
      </c>
      <c r="D22" s="25">
        <f>SUMIF(第6节!$A$3:$A$313,A16,第6节!D$3:D$313)</f>
        <v/>
      </c>
      <c r="E22" s="25">
        <f>SUMIF(第6节!$A$3:$A$313,A16,第6节!E$3:E$313)</f>
        <v/>
      </c>
      <c r="F22" s="25">
        <f>SUMIF(第6节!$A$3:$A$313,A16,第6节!F$3:F$313)</f>
        <v/>
      </c>
      <c r="G22" s="46">
        <f>IF(D16=0,0,ROUND(F16/(D16*2),3))</f>
        <v/>
      </c>
      <c r="H22" s="25">
        <f>SUMIF(第6节!$A$3:$A$313,A16,第6节!G$3:G$313)</f>
        <v/>
      </c>
      <c r="I22" s="25">
        <f>SUMIF(第6节!$A$3:$A$313,A16,第6节!H$3:H$313)</f>
        <v/>
      </c>
      <c r="J22" s="25">
        <f>SUMIF(第6节!$A$3:$A$313,A16,第6节!I$3:I$313)</f>
        <v/>
      </c>
      <c r="K22" s="46">
        <f>IF(H16=0,0,ROUND(J16/(H16*2),3))</f>
        <v/>
      </c>
      <c r="L22" s="25">
        <f>SUMIF(第6节!$A$3:$A$313,A16,第6节!J$3:J$313)</f>
        <v/>
      </c>
      <c r="M22" s="25">
        <f>SUMIF(第6节!$A$3:$A$313,A16,第6节!K$3:K$313)</f>
        <v/>
      </c>
      <c r="N22" s="25">
        <f>SUMIF(第6节!$A$3:$A$313,A16,第6节!L$3:L$313)</f>
        <v/>
      </c>
      <c r="O22" s="46">
        <f>IF(L16=0,0,ROUND(N16/(L16*3),3))</f>
        <v/>
      </c>
      <c r="P22" s="25">
        <f>SUMIF(第6节!$A$3:$A$313,A16,第6节!M$3:M$313)</f>
        <v/>
      </c>
      <c r="Q22" s="25">
        <f>SUMIF(第6节!$A$3:$A$313,A16,第6节!N$3:N$313)</f>
        <v/>
      </c>
      <c r="R22" s="25">
        <f>SUMIF(第6节!$A$3:$A$313,A16,第6节!O$3:O$313)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SUMIF(第6节!$A$3:$A$313,A16,第6节!S$3:S$313)</f>
        <v/>
      </c>
      <c r="Y22" s="25">
        <f>SUMIF(第6节!$A$3:$A$313,A16,第6节!T$3:T$313)</f>
        <v/>
      </c>
      <c r="Z22" s="25">
        <f>X16+Y16</f>
        <v/>
      </c>
      <c r="AA22" s="25">
        <f>SUMIF(第6节!$A$3:$A$313,A16,第6节!V$3:V$313)</f>
        <v/>
      </c>
      <c r="AB22" s="25">
        <f>SUMIF(第6节!$A$3:$A$313,A16,第6节!W$3:W$313)</f>
        <v/>
      </c>
      <c r="AC22" s="25">
        <f>SUMIF(第6节!$A$3:$A$313,A16,第6节!X$3:X$313)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COUNTIF(第6节!$A$3:$A$313,A17)</f>
        <v/>
      </c>
      <c r="C23" s="24">
        <f>SUMIF(第6节!$A$3:$A$313,A17,第6节!$C$3:$C$313)-SUMIF(第6节!$A$3:$A$313,A17,第6节!$B$3:$B$313)</f>
        <v/>
      </c>
      <c r="D23" s="25">
        <f>SUMIF(第6节!$A$3:$A$313,A17,第6节!D$3:D$313)</f>
        <v/>
      </c>
      <c r="E23" s="25">
        <f>SUMIF(第6节!$A$3:$A$313,A17,第6节!E$3:E$313)</f>
        <v/>
      </c>
      <c r="F23" s="25">
        <f>SUMIF(第6节!$A$3:$A$313,A17,第6节!F$3:F$313)</f>
        <v/>
      </c>
      <c r="G23" s="46">
        <f>IF(D17=0,0,ROUND(F17/(D17*2),3))</f>
        <v/>
      </c>
      <c r="H23" s="25">
        <f>SUMIF(第6节!$A$3:$A$313,A17,第6节!G$3:G$313)</f>
        <v/>
      </c>
      <c r="I23" s="25">
        <f>SUMIF(第6节!$A$3:$A$313,A17,第6节!H$3:H$313)</f>
        <v/>
      </c>
      <c r="J23" s="25">
        <f>SUMIF(第6节!$A$3:$A$313,A17,第6节!I$3:I$313)</f>
        <v/>
      </c>
      <c r="K23" s="46">
        <f>IF(H17=0,0,ROUND(J17/(H17*2),3))</f>
        <v/>
      </c>
      <c r="L23" s="25">
        <f>SUMIF(第6节!$A$3:$A$313,A17,第6节!J$3:J$313)</f>
        <v/>
      </c>
      <c r="M23" s="25">
        <f>SUMIF(第6节!$A$3:$A$313,A17,第6节!K$3:K$313)</f>
        <v/>
      </c>
      <c r="N23" s="25">
        <f>SUMIF(第6节!$A$3:$A$313,A17,第6节!L$3:L$313)</f>
        <v/>
      </c>
      <c r="O23" s="46">
        <f>IF(L17=0,0,ROUND(N17/(L17*3),3))</f>
        <v/>
      </c>
      <c r="P23" s="25">
        <f>SUMIF(第6节!$A$3:$A$313,A17,第6节!M$3:M$313)</f>
        <v/>
      </c>
      <c r="Q23" s="25">
        <f>SUMIF(第6节!$A$3:$A$313,A17,第6节!N$3:N$313)</f>
        <v/>
      </c>
      <c r="R23" s="25">
        <f>SUMIF(第6节!$A$3:$A$313,A17,第6节!O$3:O$313)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SUMIF(第6节!$A$3:$A$313,A17,第6节!S$3:S$313)</f>
        <v/>
      </c>
      <c r="Y23" s="25">
        <f>SUMIF(第6节!$A$3:$A$313,A17,第6节!T$3:T$313)</f>
        <v/>
      </c>
      <c r="Z23" s="25">
        <f>X17+Y17</f>
        <v/>
      </c>
      <c r="AA23" s="25">
        <f>SUMIF(第6节!$A$3:$A$313,A17,第6节!V$3:V$313)</f>
        <v/>
      </c>
      <c r="AB23" s="25">
        <f>SUMIF(第6节!$A$3:$A$313,A17,第6节!W$3:W$313)</f>
        <v/>
      </c>
      <c r="AC23" s="25">
        <f>SUMIF(第6节!$A$3:$A$313,A17,第6节!X$3:X$313)</f>
        <v/>
      </c>
      <c r="AD23" s="27" t="n"/>
    </row>
    <row r="24">
      <c r="A24" s="23" t="inlineStr">
        <is>
          <t>B队球员8</t>
        </is>
      </c>
      <c r="B24" s="23">
        <f>COUNTIF(第6节!$A$3:$A$313,A17)</f>
        <v/>
      </c>
      <c r="C24" s="24">
        <f>SUMIF(第6节!$A$3:$A$313,A17,第6节!$C$3:$C$313)-SUMIF(第6节!$A$3:$A$313,A17,第6节!$B$3:$B$313)</f>
        <v/>
      </c>
      <c r="D24" s="25">
        <f>SUMIF(第6节!$A$3:$A$313,A17,第6节!D$3:D$313)</f>
        <v/>
      </c>
      <c r="E24" s="25">
        <f>SUMIF(第6节!$A$3:$A$313,A17,第6节!E$3:E$313)</f>
        <v/>
      </c>
      <c r="F24" s="25">
        <f>SUMIF(第6节!$A$3:$A$313,A17,第6节!F$3:F$313)</f>
        <v/>
      </c>
      <c r="G24" s="46">
        <f>IF(D17=0,0,ROUND(F17/(D17*2),3))</f>
        <v/>
      </c>
      <c r="H24" s="25">
        <f>SUMIF(第6节!$A$3:$A$313,A17,第6节!G$3:G$313)</f>
        <v/>
      </c>
      <c r="I24" s="25">
        <f>SUMIF(第6节!$A$3:$A$313,A17,第6节!H$3:H$313)</f>
        <v/>
      </c>
      <c r="J24" s="25">
        <f>SUMIF(第6节!$A$3:$A$313,A17,第6节!I$3:I$313)</f>
        <v/>
      </c>
      <c r="K24" s="46">
        <f>IF(H17=0,0,ROUND(J17/(H17*2),3))</f>
        <v/>
      </c>
      <c r="L24" s="25">
        <f>SUMIF(第6节!$A$3:$A$313,A17,第6节!J$3:J$313)</f>
        <v/>
      </c>
      <c r="M24" s="25">
        <f>SUMIF(第6节!$A$3:$A$313,A17,第6节!K$3:K$313)</f>
        <v/>
      </c>
      <c r="N24" s="25">
        <f>SUMIF(第6节!$A$3:$A$313,A17,第6节!L$3:L$313)</f>
        <v/>
      </c>
      <c r="O24" s="46">
        <f>IF(L17=0,0,ROUND(N17/(L17*3),3))</f>
        <v/>
      </c>
      <c r="P24" s="25">
        <f>SUMIF(第6节!$A$3:$A$313,A17,第6节!M$3:M$313)</f>
        <v/>
      </c>
      <c r="Q24" s="25">
        <f>SUMIF(第6节!$A$3:$A$313,A17,第6节!N$3:N$313)</f>
        <v/>
      </c>
      <c r="R24" s="25">
        <f>SUMIF(第6节!$A$3:$A$313,A17,第6节!O$3:O$313)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SUMIF(第6节!$A$3:$A$313,A17,第6节!S$3:S$313)</f>
        <v/>
      </c>
      <c r="Y24" s="25">
        <f>SUMIF(第6节!$A$3:$A$313,A17,第6节!T$3:T$313)</f>
        <v/>
      </c>
      <c r="Z24" s="25">
        <f>X17+Y17</f>
        <v/>
      </c>
      <c r="AA24" s="25">
        <f>SUMIF(第6节!$A$3:$A$313,A17,第6节!V$3:V$313)</f>
        <v/>
      </c>
      <c r="AB24" s="25">
        <f>SUMIF(第6节!$A$3:$A$313,A17,第6节!W$3:W$313)</f>
        <v/>
      </c>
      <c r="AC24" s="25">
        <f>SUMIF(第6节!$A$3:$A$313,A17,第6节!X$3:X$313)</f>
        <v/>
      </c>
      <c r="AD24" s="27" t="n"/>
    </row>
    <row r="25">
      <c r="A25" s="23" t="inlineStr">
        <is>
          <t>B队球员9</t>
        </is>
      </c>
      <c r="B25" s="23">
        <f>COUNTIF(第6节!$A$3:$A$313,A17)</f>
        <v/>
      </c>
      <c r="C25" s="24">
        <f>SUMIF(第6节!$A$3:$A$313,A17,第6节!$C$3:$C$313)-SUMIF(第6节!$A$3:$A$313,A17,第6节!$B$3:$B$313)</f>
        <v/>
      </c>
      <c r="D25" s="25">
        <f>SUMIF(第6节!$A$3:$A$313,A17,第6节!D$3:D$313)</f>
        <v/>
      </c>
      <c r="E25" s="25">
        <f>SUMIF(第6节!$A$3:$A$313,A17,第6节!E$3:E$313)</f>
        <v/>
      </c>
      <c r="F25" s="25">
        <f>SUMIF(第6节!$A$3:$A$313,A17,第6节!F$3:F$313)</f>
        <v/>
      </c>
      <c r="G25" s="46">
        <f>IF(D17=0,0,ROUND(F17/(D17*2),3))</f>
        <v/>
      </c>
      <c r="H25" s="25">
        <f>SUMIF(第6节!$A$3:$A$313,A17,第6节!G$3:G$313)</f>
        <v/>
      </c>
      <c r="I25" s="25">
        <f>SUMIF(第6节!$A$3:$A$313,A17,第6节!H$3:H$313)</f>
        <v/>
      </c>
      <c r="J25" s="25">
        <f>SUMIF(第6节!$A$3:$A$313,A17,第6节!I$3:I$313)</f>
        <v/>
      </c>
      <c r="K25" s="46">
        <f>IF(H17=0,0,ROUND(J17/(H17*2),3))</f>
        <v/>
      </c>
      <c r="L25" s="25">
        <f>SUMIF(第6节!$A$3:$A$313,A17,第6节!J$3:J$313)</f>
        <v/>
      </c>
      <c r="M25" s="25">
        <f>SUMIF(第6节!$A$3:$A$313,A17,第6节!K$3:K$313)</f>
        <v/>
      </c>
      <c r="N25" s="25">
        <f>SUMIF(第6节!$A$3:$A$313,A17,第6节!L$3:L$313)</f>
        <v/>
      </c>
      <c r="O25" s="46">
        <f>IF(L17=0,0,ROUND(N17/(L17*3),3))</f>
        <v/>
      </c>
      <c r="P25" s="25">
        <f>SUMIF(第6节!$A$3:$A$313,A17,第6节!M$3:M$313)</f>
        <v/>
      </c>
      <c r="Q25" s="25">
        <f>SUMIF(第6节!$A$3:$A$313,A17,第6节!N$3:N$313)</f>
        <v/>
      </c>
      <c r="R25" s="25">
        <f>SUMIF(第6节!$A$3:$A$313,A17,第6节!O$3:O$313)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SUMIF(第6节!$A$3:$A$313,A17,第6节!S$3:S$313)</f>
        <v/>
      </c>
      <c r="Y25" s="25">
        <f>SUMIF(第6节!$A$3:$A$313,A17,第6节!T$3:T$313)</f>
        <v/>
      </c>
      <c r="Z25" s="25">
        <f>X17+Y17</f>
        <v/>
      </c>
      <c r="AA25" s="25">
        <f>SUMIF(第6节!$A$3:$A$313,A17,第6节!V$3:V$313)</f>
        <v/>
      </c>
      <c r="AB25" s="25">
        <f>SUMIF(第6节!$A$3:$A$313,A17,第6节!W$3:W$313)</f>
        <v/>
      </c>
      <c r="AC25" s="25">
        <f>SUMIF(第6节!$A$3:$A$313,A17,第6节!X$3:X$313)</f>
        <v/>
      </c>
      <c r="AD25" s="27" t="n"/>
    </row>
    <row r="26">
      <c r="A26" s="23" t="inlineStr">
        <is>
          <t>B队球员10</t>
        </is>
      </c>
      <c r="B26" s="23">
        <f>COUNTIF(第6节!$A$3:$A$313,A17)</f>
        <v/>
      </c>
      <c r="C26" s="24">
        <f>SUMIF(第6节!$A$3:$A$313,A17,第6节!$C$3:$C$313)-SUMIF(第6节!$A$3:$A$313,A17,第6节!$B$3:$B$313)</f>
        <v/>
      </c>
      <c r="D26" s="25">
        <f>SUMIF(第6节!$A$3:$A$313,A17,第6节!D$3:D$313)</f>
        <v/>
      </c>
      <c r="E26" s="25">
        <f>SUMIF(第6节!$A$3:$A$313,A17,第6节!E$3:E$313)</f>
        <v/>
      </c>
      <c r="F26" s="25">
        <f>SUMIF(第6节!$A$3:$A$313,A17,第6节!F$3:F$313)</f>
        <v/>
      </c>
      <c r="G26" s="46">
        <f>IF(D17=0,0,ROUND(F17/(D17*2),3))</f>
        <v/>
      </c>
      <c r="H26" s="25">
        <f>SUMIF(第6节!$A$3:$A$313,A17,第6节!G$3:G$313)</f>
        <v/>
      </c>
      <c r="I26" s="25">
        <f>SUMIF(第6节!$A$3:$A$313,A17,第6节!H$3:H$313)</f>
        <v/>
      </c>
      <c r="J26" s="25">
        <f>SUMIF(第6节!$A$3:$A$313,A17,第6节!I$3:I$313)</f>
        <v/>
      </c>
      <c r="K26" s="46">
        <f>IF(H17=0,0,ROUND(J17/(H17*2),3))</f>
        <v/>
      </c>
      <c r="L26" s="25">
        <f>SUMIF(第6节!$A$3:$A$313,A17,第6节!J$3:J$313)</f>
        <v/>
      </c>
      <c r="M26" s="25">
        <f>SUMIF(第6节!$A$3:$A$313,A17,第6节!K$3:K$313)</f>
        <v/>
      </c>
      <c r="N26" s="25">
        <f>SUMIF(第6节!$A$3:$A$313,A17,第6节!L$3:L$313)</f>
        <v/>
      </c>
      <c r="O26" s="46">
        <f>IF(L17=0,0,ROUND(N17/(L17*3),3))</f>
        <v/>
      </c>
      <c r="P26" s="25">
        <f>SUMIF(第6节!$A$3:$A$313,A17,第6节!M$3:M$313)</f>
        <v/>
      </c>
      <c r="Q26" s="25">
        <f>SUMIF(第6节!$A$3:$A$313,A17,第6节!N$3:N$313)</f>
        <v/>
      </c>
      <c r="R26" s="25">
        <f>SUMIF(第6节!$A$3:$A$313,A17,第6节!O$3:O$313)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SUMIF(第6节!$A$3:$A$313,A17,第6节!S$3:S$313)</f>
        <v/>
      </c>
      <c r="Y26" s="25">
        <f>SUMIF(第6节!$A$3:$A$313,A17,第6节!T$3:T$313)</f>
        <v/>
      </c>
      <c r="Z26" s="25">
        <f>X17+Y17</f>
        <v/>
      </c>
      <c r="AA26" s="25">
        <f>SUMIF(第6节!$A$3:$A$313,A17,第6节!V$3:V$313)</f>
        <v/>
      </c>
      <c r="AB26" s="25">
        <f>SUMIF(第6节!$A$3:$A$313,A17,第6节!W$3:W$313)</f>
        <v/>
      </c>
      <c r="AC26" s="25">
        <f>SUMIF(第6节!$A$3:$A$313,A17,第6节!X$3:X$313)</f>
        <v/>
      </c>
      <c r="AD26" s="27" t="n"/>
    </row>
    <row r="27">
      <c r="A27" s="23" t="inlineStr">
        <is>
          <t>B队球员11</t>
        </is>
      </c>
      <c r="B27" s="23">
        <f>COUNTIF(第6节!$A$3:$A$313,A17)</f>
        <v/>
      </c>
      <c r="C27" s="24">
        <f>SUMIF(第6节!$A$3:$A$313,A17,第6节!$C$3:$C$313)-SUMIF(第6节!$A$3:$A$313,A17,第6节!$B$3:$B$313)</f>
        <v/>
      </c>
      <c r="D27" s="25">
        <f>SUMIF(第6节!$A$3:$A$313,A17,第6节!D$3:D$313)</f>
        <v/>
      </c>
      <c r="E27" s="25">
        <f>SUMIF(第6节!$A$3:$A$313,A17,第6节!E$3:E$313)</f>
        <v/>
      </c>
      <c r="F27" s="25">
        <f>SUMIF(第6节!$A$3:$A$313,A17,第6节!F$3:F$313)</f>
        <v/>
      </c>
      <c r="G27" s="46">
        <f>IF(D17=0,0,ROUND(F17/(D17*2),3))</f>
        <v/>
      </c>
      <c r="H27" s="25">
        <f>SUMIF(第6节!$A$3:$A$313,A17,第6节!G$3:G$313)</f>
        <v/>
      </c>
      <c r="I27" s="25">
        <f>SUMIF(第6节!$A$3:$A$313,A17,第6节!H$3:H$313)</f>
        <v/>
      </c>
      <c r="J27" s="25">
        <f>SUMIF(第6节!$A$3:$A$313,A17,第6节!I$3:I$313)</f>
        <v/>
      </c>
      <c r="K27" s="46">
        <f>IF(H17=0,0,ROUND(J17/(H17*2),3))</f>
        <v/>
      </c>
      <c r="L27" s="25">
        <f>SUMIF(第6节!$A$3:$A$313,A17,第6节!J$3:J$313)</f>
        <v/>
      </c>
      <c r="M27" s="25">
        <f>SUMIF(第6节!$A$3:$A$313,A17,第6节!K$3:K$313)</f>
        <v/>
      </c>
      <c r="N27" s="25">
        <f>SUMIF(第6节!$A$3:$A$313,A17,第6节!L$3:L$313)</f>
        <v/>
      </c>
      <c r="O27" s="46">
        <f>IF(L17=0,0,ROUND(N17/(L17*3),3))</f>
        <v/>
      </c>
      <c r="P27" s="25">
        <f>SUMIF(第6节!$A$3:$A$313,A17,第6节!M$3:M$313)</f>
        <v/>
      </c>
      <c r="Q27" s="25">
        <f>SUMIF(第6节!$A$3:$A$313,A17,第6节!N$3:N$313)</f>
        <v/>
      </c>
      <c r="R27" s="25">
        <f>SUMIF(第6节!$A$3:$A$313,A17,第6节!O$3:O$313)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SUMIF(第6节!$A$3:$A$313,A17,第6节!S$3:S$313)</f>
        <v/>
      </c>
      <c r="Y27" s="25">
        <f>SUMIF(第6节!$A$3:$A$313,A17,第6节!T$3:T$313)</f>
        <v/>
      </c>
      <c r="Z27" s="25">
        <f>X17+Y17</f>
        <v/>
      </c>
      <c r="AA27" s="25">
        <f>SUMIF(第6节!$A$3:$A$313,A17,第6节!V$3:V$313)</f>
        <v/>
      </c>
      <c r="AB27" s="25">
        <f>SUMIF(第6节!$A$3:$A$313,A17,第6节!W$3:W$313)</f>
        <v/>
      </c>
      <c r="AC27" s="25">
        <f>SUMIF(第6节!$A$3:$A$313,A17,第6节!X$3:X$313)</f>
        <v/>
      </c>
      <c r="AD27" s="27" t="n"/>
    </row>
    <row r="28">
      <c r="A28" s="23" t="inlineStr">
        <is>
          <t>B队球员12</t>
        </is>
      </c>
      <c r="B28" s="23">
        <f>COUNTIF(第6节!$A$3:$A$313,A17)</f>
        <v/>
      </c>
      <c r="C28" s="24">
        <f>SUMIF(第6节!$A$3:$A$313,A17,第6节!$C$3:$C$313)-SUMIF(第6节!$A$3:$A$313,A17,第6节!$B$3:$B$313)</f>
        <v/>
      </c>
      <c r="D28" s="25">
        <f>SUMIF(第6节!$A$3:$A$313,A17,第6节!D$3:D$313)</f>
        <v/>
      </c>
      <c r="E28" s="25">
        <f>SUMIF(第6节!$A$3:$A$313,A17,第6节!E$3:E$313)</f>
        <v/>
      </c>
      <c r="F28" s="25">
        <f>SUMIF(第6节!$A$3:$A$313,A17,第6节!F$3:F$313)</f>
        <v/>
      </c>
      <c r="G28" s="46">
        <f>IF(D17=0,0,ROUND(F17/(D17*2),3))</f>
        <v/>
      </c>
      <c r="H28" s="25">
        <f>SUMIF(第6节!$A$3:$A$313,A17,第6节!G$3:G$313)</f>
        <v/>
      </c>
      <c r="I28" s="25">
        <f>SUMIF(第6节!$A$3:$A$313,A17,第6节!H$3:H$313)</f>
        <v/>
      </c>
      <c r="J28" s="25">
        <f>SUMIF(第6节!$A$3:$A$313,A17,第6节!I$3:I$313)</f>
        <v/>
      </c>
      <c r="K28" s="46">
        <f>IF(H17=0,0,ROUND(J17/(H17*2),3))</f>
        <v/>
      </c>
      <c r="L28" s="25">
        <f>SUMIF(第6节!$A$3:$A$313,A17,第6节!J$3:J$313)</f>
        <v/>
      </c>
      <c r="M28" s="25">
        <f>SUMIF(第6节!$A$3:$A$313,A17,第6节!K$3:K$313)</f>
        <v/>
      </c>
      <c r="N28" s="25">
        <f>SUMIF(第6节!$A$3:$A$313,A17,第6节!L$3:L$313)</f>
        <v/>
      </c>
      <c r="O28" s="46">
        <f>IF(L17=0,0,ROUND(N17/(L17*3),3))</f>
        <v/>
      </c>
      <c r="P28" s="25">
        <f>SUMIF(第6节!$A$3:$A$313,A17,第6节!M$3:M$313)</f>
        <v/>
      </c>
      <c r="Q28" s="25">
        <f>SUMIF(第6节!$A$3:$A$313,A17,第6节!N$3:N$313)</f>
        <v/>
      </c>
      <c r="R28" s="25">
        <f>SUMIF(第6节!$A$3:$A$313,A17,第6节!O$3:O$313)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SUMIF(第6节!$A$3:$A$313,A17,第6节!S$3:S$313)</f>
        <v/>
      </c>
      <c r="Y28" s="25">
        <f>SUMIF(第6节!$A$3:$A$313,A17,第6节!T$3:T$313)</f>
        <v/>
      </c>
      <c r="Z28" s="25">
        <f>X17+Y17</f>
        <v/>
      </c>
      <c r="AA28" s="25">
        <f>SUMIF(第6节!$A$3:$A$313,A17,第6节!V$3:V$313)</f>
        <v/>
      </c>
      <c r="AB28" s="25">
        <f>SUMIF(第6节!$A$3:$A$313,A17,第6节!W$3:W$313)</f>
        <v/>
      </c>
      <c r="AC28" s="25">
        <f>SUMIF(第6节!$A$3:$A$313,A17,第6节!X$3:X$313)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SUMPRODUCT(COUNTIF($A$4:$A$9,第7节!$A$3:$A$313))</f>
        <v/>
      </c>
      <c r="C3" s="10">
        <f>SUMPRODUCT(COUNTIF($A$4:$A$9,第7节!$A$3:$A$313),第7节!$C$3:$C$313)-SUMPRODUCT(COUNTIF($A$4:$A$9,第7节!$A$3:$A$313),第7节!$B$3:$B$313)</f>
        <v/>
      </c>
      <c r="D3" s="11">
        <f>SUMPRODUCT(COUNTIF($A$4:$A$9,第7节!$A$3:$A$313),第7节!D$3:D$313)</f>
        <v/>
      </c>
      <c r="E3" s="11">
        <f>SUMPRODUCT(COUNTIF($A$4:$A$9,第7节!$A$3:$A$313),第7节!E$3:E$313)</f>
        <v/>
      </c>
      <c r="F3" s="11">
        <f>SUMPRODUCT(COUNTIF($A$4:$A$9,第7节!$A$3:$A$313),第7节!F$3:F$313)</f>
        <v/>
      </c>
      <c r="G3" s="43">
        <f>IF(D3=0,0,ROUND(F3/(D3*2),3))</f>
        <v/>
      </c>
      <c r="H3" s="11">
        <f>SUMPRODUCT(COUNTIF($A$4:$A$9,第7节!$A$3:$A$313),第7节!G$3:G$313)</f>
        <v/>
      </c>
      <c r="I3" s="11">
        <f>SUMPRODUCT(COUNTIF($A$4:$A$9,第7节!$A$3:$A$313),第7节!H$3:H$313)</f>
        <v/>
      </c>
      <c r="J3" s="11">
        <f>SUMPRODUCT(COUNTIF($A$4:$A$9,第7节!$A$3:$A$313),第7节!I$3:I$313)</f>
        <v/>
      </c>
      <c r="K3" s="43">
        <f>IF(H3=0,0,ROUND(J3/(H3*2),3))</f>
        <v/>
      </c>
      <c r="L3" s="11">
        <f>SUMPRODUCT(COUNTIF($A$4:$A$9,第7节!$A$3:$A$313),第7节!J$3:J$313)</f>
        <v/>
      </c>
      <c r="M3" s="11">
        <f>SUMPRODUCT(COUNTIF($A$4:$A$9,第7节!$A$3:$A$313),第7节!K$3:K$313)</f>
        <v/>
      </c>
      <c r="N3" s="11">
        <f>SUMPRODUCT(COUNTIF($A$4:$A$9,第7节!$A$3:$A$313),第7节!L$3:L$313)</f>
        <v/>
      </c>
      <c r="O3" s="43">
        <f>IF(L3=0,0,ROUND(N3/(L3*3),3))</f>
        <v/>
      </c>
      <c r="P3" s="11">
        <f>SUMPRODUCT(COUNTIF($A$4:$A$9,第7节!$A$3:$A$313),第7节!M$3:M$313)</f>
        <v/>
      </c>
      <c r="Q3" s="11">
        <f>SUMPRODUCT(COUNTIF($A$4:$A$9,第7节!$A$3:$A$313),第7节!N$3:N$313)</f>
        <v/>
      </c>
      <c r="R3" s="11">
        <f>SUMPRODUCT(COUNTIF($A$4:$A$9,第7节!$A$3:$A$313),第7节!O$3:O$313)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SUMPRODUCT(COUNTIF($A$4:$A$9,第7节!$A$3:$A$313),第7节!S$3:S$313)</f>
        <v/>
      </c>
      <c r="Y3" s="11">
        <f>SUMPRODUCT(COUNTIF($A$4:$A$9,第7节!$A$3:$A$313),第7节!T$3:T$313)</f>
        <v/>
      </c>
      <c r="Z3" s="11">
        <f>X3+Y3</f>
        <v/>
      </c>
      <c r="AA3" s="11">
        <f>SUMPRODUCT(COUNTIF($A$4:$A$9,第7节!$A$3:$A$313),第7节!V$3:V$313)</f>
        <v/>
      </c>
      <c r="AB3" s="11">
        <f>SUMPRODUCT(COUNTIF($A$4:$A$9,第7节!$A$3:$A$313),第7节!W$3:W$313)</f>
        <v/>
      </c>
      <c r="AC3" s="11">
        <f>SUMPRODUCT(COUNTIF($A$4:$A$9,第7节!$A$3:$A$313),第7节!X$3:X$313)</f>
        <v/>
      </c>
      <c r="AD3" s="13" t="n"/>
    </row>
    <row r="4" ht="22.5" customHeight="1">
      <c r="A4" s="14" t="inlineStr">
        <is>
          <t>陈赞安</t>
        </is>
      </c>
      <c r="B4" s="14">
        <f>COUNTIF(第7节!$A$3:$A$313,A4)</f>
        <v/>
      </c>
      <c r="C4" s="15">
        <f>SUMIF(第7节!$A$3:$A$313,A4,第7节!$C$3:$C$313)-SUMIF(第7节!$A$3:$A$313,A4,第7节!$B$3:$B$313)</f>
        <v/>
      </c>
      <c r="D4" s="16">
        <f>SUMIF(第7节!$A$3:$A$313,A4,第7节!D$3:D$313)</f>
        <v/>
      </c>
      <c r="E4" s="16">
        <f>SUMIF(第7节!$A$3:$A$313,A4,第7节!E$3:E$313)</f>
        <v/>
      </c>
      <c r="F4" s="16">
        <f>SUMIF(第7节!$A$3:$A$313,A4,第7节!F$3:F$313)</f>
        <v/>
      </c>
      <c r="G4" s="44">
        <f>IF(D4=0,0,ROUND(F4/(D4*2),3))</f>
        <v/>
      </c>
      <c r="H4" s="16">
        <f>SUMIF(第7节!$A$3:$A$313,A4,第7节!G$3:G$313)</f>
        <v/>
      </c>
      <c r="I4" s="16">
        <f>SUMIF(第7节!$A$3:$A$313,A4,第7节!H$3:H$313)</f>
        <v/>
      </c>
      <c r="J4" s="16">
        <f>SUMIF(第7节!$A$3:$A$313,A4,第7节!I$3:I$313)</f>
        <v/>
      </c>
      <c r="K4" s="44">
        <f>IF(H4=0,0,ROUND(J4/(H4*2),3))</f>
        <v/>
      </c>
      <c r="L4" s="16">
        <f>SUMIF(第7节!$A$3:$A$313,A4,第7节!J$3:J$313)</f>
        <v/>
      </c>
      <c r="M4" s="16">
        <f>SUMIF(第7节!$A$3:$A$313,A4,第7节!K$3:K$313)</f>
        <v/>
      </c>
      <c r="N4" s="16">
        <f>SUMIF(第7节!$A$3:$A$313,A4,第7节!L$3:L$313)</f>
        <v/>
      </c>
      <c r="O4" s="44">
        <f>IF(L4=0,0,ROUND(N4/(L4*3),3))</f>
        <v/>
      </c>
      <c r="P4" s="16">
        <f>SUMIF(第7节!$A$3:$A$313,A4,第7节!M$3:M$313)</f>
        <v/>
      </c>
      <c r="Q4" s="16">
        <f>SUMIF(第7节!$A$3:$A$313,A4,第7节!N$3:N$313)</f>
        <v/>
      </c>
      <c r="R4" s="16">
        <f>SUMIF(第7节!$A$3:$A$313,A4,第7节!O$3:O$313)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SUMIF(第7节!$A$3:$A$313,A4,第7节!S$3:S$313)</f>
        <v/>
      </c>
      <c r="Y4" s="16">
        <f>SUMIF(第7节!$A$3:$A$313,A4,第7节!T$3:T$313)</f>
        <v/>
      </c>
      <c r="Z4" s="16">
        <f>X4+Y4</f>
        <v/>
      </c>
      <c r="AA4" s="16">
        <f>SUMIF(第7节!$A$3:$A$313,A4,第7节!V$3:V$313)</f>
        <v/>
      </c>
      <c r="AB4" s="16">
        <f>SUMIF(第7节!$A$3:$A$313,A4,第7节!W$3:W$313)</f>
        <v/>
      </c>
      <c r="AC4" s="16">
        <f>SUMIF(第7节!$A$3:$A$313,A4,第7节!X$3:X$313)</f>
        <v/>
      </c>
      <c r="AD4" s="18" t="n"/>
    </row>
    <row r="5" ht="22.5" customHeight="1">
      <c r="A5" s="14" t="inlineStr">
        <is>
          <t>张绪然</t>
        </is>
      </c>
      <c r="B5" s="14">
        <f>COUNTIF(第7节!$A$3:$A$313,A5)</f>
        <v/>
      </c>
      <c r="C5" s="15">
        <f>SUMIF(第7节!$A$3:$A$313,A5,第7节!$C$3:$C$313)-SUMIF(第7节!$A$3:$A$313,A5,第7节!$B$3:$B$313)</f>
        <v/>
      </c>
      <c r="D5" s="16">
        <f>SUMIF(第7节!$A$3:$A$313,A5,第7节!D$3:D$313)</f>
        <v/>
      </c>
      <c r="E5" s="16">
        <f>SUMIF(第7节!$A$3:$A$313,A5,第7节!E$3:E$313)</f>
        <v/>
      </c>
      <c r="F5" s="16">
        <f>SUMIF(第7节!$A$3:$A$313,A5,第7节!F$3:F$313)</f>
        <v/>
      </c>
      <c r="G5" s="44">
        <f>IF(D5=0,0,ROUND(F5/(D5*2),3))</f>
        <v/>
      </c>
      <c r="H5" s="16">
        <f>SUMIF(第7节!$A$3:$A$313,A5,第7节!G$3:G$313)</f>
        <v/>
      </c>
      <c r="I5" s="16">
        <f>SUMIF(第7节!$A$3:$A$313,A5,第7节!H$3:H$313)</f>
        <v/>
      </c>
      <c r="J5" s="16">
        <f>SUMIF(第7节!$A$3:$A$313,A5,第7节!I$3:I$313)</f>
        <v/>
      </c>
      <c r="K5" s="44">
        <f>IF(H5=0,0,ROUND(J5/(H5*2),3))</f>
        <v/>
      </c>
      <c r="L5" s="16">
        <f>SUMIF(第7节!$A$3:$A$313,A5,第7节!J$3:J$313)</f>
        <v/>
      </c>
      <c r="M5" s="16">
        <f>SUMIF(第7节!$A$3:$A$313,A5,第7节!K$3:K$313)</f>
        <v/>
      </c>
      <c r="N5" s="16">
        <f>SUMIF(第7节!$A$3:$A$313,A5,第7节!L$3:L$313)</f>
        <v/>
      </c>
      <c r="O5" s="44">
        <f>IF(L5=0,0,ROUND(N5/(L5*3),3))</f>
        <v/>
      </c>
      <c r="P5" s="16">
        <f>SUMIF(第7节!$A$3:$A$313,A5,第7节!M$3:M$313)</f>
        <v/>
      </c>
      <c r="Q5" s="16">
        <f>SUMIF(第7节!$A$3:$A$313,A5,第7节!N$3:N$313)</f>
        <v/>
      </c>
      <c r="R5" s="16">
        <f>SUMIF(第7节!$A$3:$A$313,A5,第7节!O$3:O$313)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SUMIF(第7节!$A$3:$A$313,A5,第7节!S$3:S$313)</f>
        <v/>
      </c>
      <c r="Y5" s="16">
        <f>SUMIF(第7节!$A$3:$A$313,A5,第7节!T$3:T$313)</f>
        <v/>
      </c>
      <c r="Z5" s="16">
        <f>X5+Y5</f>
        <v/>
      </c>
      <c r="AA5" s="16">
        <f>SUMIF(第7节!$A$3:$A$313,A5,第7节!V$3:V$313)</f>
        <v/>
      </c>
      <c r="AB5" s="16">
        <f>SUMIF(第7节!$A$3:$A$313,A5,第7节!W$3:W$313)</f>
        <v/>
      </c>
      <c r="AC5" s="16">
        <f>SUMIF(第7节!$A$3:$A$313,A5,第7节!X$3:X$313)</f>
        <v/>
      </c>
      <c r="AD5" s="18" t="n"/>
    </row>
    <row r="6" ht="22.5" customHeight="1">
      <c r="A6" s="14" t="inlineStr">
        <is>
          <t>雷奕梵</t>
        </is>
      </c>
      <c r="B6" s="14">
        <f>COUNTIF(第7节!$A$3:$A$313,A6)</f>
        <v/>
      </c>
      <c r="C6" s="15">
        <f>SUMIF(第7节!$A$3:$A$313,A6,第7节!$C$3:$C$313)-SUMIF(第7节!$A$3:$A$313,A6,第7节!$B$3:$B$313)</f>
        <v/>
      </c>
      <c r="D6" s="16">
        <f>SUMIF(第7节!$A$3:$A$313,A6,第7节!D$3:D$313)</f>
        <v/>
      </c>
      <c r="E6" s="16">
        <f>SUMIF(第7节!$A$3:$A$313,A6,第7节!E$3:E$313)</f>
        <v/>
      </c>
      <c r="F6" s="16">
        <f>SUMIF(第7节!$A$3:$A$313,A6,第7节!F$3:F$313)</f>
        <v/>
      </c>
      <c r="G6" s="44">
        <f>IF(D6=0,0,ROUND(F6/(D6*2),3))</f>
        <v/>
      </c>
      <c r="H6" s="16">
        <f>SUMIF(第7节!$A$3:$A$313,A6,第7节!G$3:G$313)</f>
        <v/>
      </c>
      <c r="I6" s="16">
        <f>SUMIF(第7节!$A$3:$A$313,A6,第7节!H$3:H$313)</f>
        <v/>
      </c>
      <c r="J6" s="16">
        <f>SUMIF(第7节!$A$3:$A$313,A6,第7节!I$3:I$313)</f>
        <v/>
      </c>
      <c r="K6" s="44">
        <f>IF(H6=0,0,ROUND(J6/(H6*2),3))</f>
        <v/>
      </c>
      <c r="L6" s="16">
        <f>SUMIF(第7节!$A$3:$A$313,A6,第7节!J$3:J$313)</f>
        <v/>
      </c>
      <c r="M6" s="16">
        <f>SUMIF(第7节!$A$3:$A$313,A6,第7节!K$3:K$313)</f>
        <v/>
      </c>
      <c r="N6" s="16">
        <f>SUMIF(第7节!$A$3:$A$313,A6,第7节!L$3:L$313)</f>
        <v/>
      </c>
      <c r="O6" s="44">
        <f>IF(L6=0,0,ROUND(N6/(L6*3),3))</f>
        <v/>
      </c>
      <c r="P6" s="16">
        <f>SUMIF(第7节!$A$3:$A$313,A6,第7节!M$3:M$313)</f>
        <v/>
      </c>
      <c r="Q6" s="16">
        <f>SUMIF(第7节!$A$3:$A$313,A6,第7节!N$3:N$313)</f>
        <v/>
      </c>
      <c r="R6" s="16">
        <f>SUMIF(第7节!$A$3:$A$313,A6,第7节!O$3:O$313)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SUMIF(第7节!$A$3:$A$313,A6,第7节!S$3:S$313)</f>
        <v/>
      </c>
      <c r="Y6" s="16">
        <f>SUMIF(第7节!$A$3:$A$313,A6,第7节!T$3:T$313)</f>
        <v/>
      </c>
      <c r="Z6" s="16">
        <f>X6+Y6</f>
        <v/>
      </c>
      <c r="AA6" s="16">
        <f>SUMIF(第7节!$A$3:$A$313,A6,第7节!V$3:V$313)</f>
        <v/>
      </c>
      <c r="AB6" s="16">
        <f>SUMIF(第7节!$A$3:$A$313,A6,第7节!W$3:W$313)</f>
        <v/>
      </c>
      <c r="AC6" s="16">
        <f>SUMIF(第7节!$A$3:$A$313,A6,第7节!X$3:X$313)</f>
        <v/>
      </c>
      <c r="AD6" s="18" t="n"/>
    </row>
    <row r="7" ht="22.5" customHeight="1">
      <c r="A7" s="14" t="inlineStr">
        <is>
          <t>洪浩哲</t>
        </is>
      </c>
      <c r="B7" s="14">
        <f>COUNTIF(第7节!$A$3:$A$313,A7)</f>
        <v/>
      </c>
      <c r="C7" s="15">
        <f>SUMIF(第7节!$A$3:$A$313,A7,第7节!$C$3:$C$313)-SUMIF(第7节!$A$3:$A$313,A7,第7节!$B$3:$B$313)</f>
        <v/>
      </c>
      <c r="D7" s="16">
        <f>SUMIF(第7节!$A$3:$A$313,A7,第7节!D$3:D$313)</f>
        <v/>
      </c>
      <c r="E7" s="16">
        <f>SUMIF(第7节!$A$3:$A$313,A7,第7节!E$3:E$313)</f>
        <v/>
      </c>
      <c r="F7" s="16">
        <f>SUMIF(第7节!$A$3:$A$313,A7,第7节!F$3:F$313)</f>
        <v/>
      </c>
      <c r="G7" s="44">
        <f>IF(D7=0,0,ROUND(F7/(D7*2),3))</f>
        <v/>
      </c>
      <c r="H7" s="16">
        <f>SUMIF(第7节!$A$3:$A$313,A7,第7节!G$3:G$313)</f>
        <v/>
      </c>
      <c r="I7" s="16">
        <f>SUMIF(第7节!$A$3:$A$313,A7,第7节!H$3:H$313)</f>
        <v/>
      </c>
      <c r="J7" s="16">
        <f>SUMIF(第7节!$A$3:$A$313,A7,第7节!I$3:I$313)</f>
        <v/>
      </c>
      <c r="K7" s="44">
        <f>IF(H7=0,0,ROUND(J7/(H7*2),3))</f>
        <v/>
      </c>
      <c r="L7" s="16">
        <f>SUMIF(第7节!$A$3:$A$313,A7,第7节!J$3:J$313)</f>
        <v/>
      </c>
      <c r="M7" s="16">
        <f>SUMIF(第7节!$A$3:$A$313,A7,第7节!K$3:K$313)</f>
        <v/>
      </c>
      <c r="N7" s="16">
        <f>SUMIF(第7节!$A$3:$A$313,A7,第7节!L$3:L$313)</f>
        <v/>
      </c>
      <c r="O7" s="44">
        <f>IF(L7=0,0,ROUND(N7/(L7*3),3))</f>
        <v/>
      </c>
      <c r="P7" s="16">
        <f>SUMIF(第7节!$A$3:$A$313,A7,第7节!M$3:M$313)</f>
        <v/>
      </c>
      <c r="Q7" s="16">
        <f>SUMIF(第7节!$A$3:$A$313,A7,第7节!N$3:N$313)</f>
        <v/>
      </c>
      <c r="R7" s="16">
        <f>SUMIF(第7节!$A$3:$A$313,A7,第7节!O$3:O$313)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SUMIF(第7节!$A$3:$A$313,A7,第7节!S$3:S$313)</f>
        <v/>
      </c>
      <c r="Y7" s="16">
        <f>SUMIF(第7节!$A$3:$A$313,A7,第7节!T$3:T$313)</f>
        <v/>
      </c>
      <c r="Z7" s="16">
        <f>X7+Y7</f>
        <v/>
      </c>
      <c r="AA7" s="16">
        <f>SUMIF(第7节!$A$3:$A$313,A7,第7节!V$3:V$313)</f>
        <v/>
      </c>
      <c r="AB7" s="16">
        <f>SUMIF(第7节!$A$3:$A$313,A7,第7节!W$3:W$313)</f>
        <v/>
      </c>
      <c r="AC7" s="16">
        <f>SUMIF(第7节!$A$3:$A$313,A7,第7节!X$3:X$313)</f>
        <v/>
      </c>
      <c r="AD7" s="18" t="n"/>
    </row>
    <row r="8" ht="22.5" customHeight="1">
      <c r="A8" s="14" t="inlineStr">
        <is>
          <t>刘炎昊</t>
        </is>
      </c>
      <c r="B8" s="14">
        <f>COUNTIF(第7节!$A$3:$A$313,A8)</f>
        <v/>
      </c>
      <c r="C8" s="15">
        <f>SUMIF(第7节!$A$3:$A$313,A8,第7节!$C$3:$C$313)-SUMIF(第7节!$A$3:$A$313,A8,第7节!$B$3:$B$313)</f>
        <v/>
      </c>
      <c r="D8" s="16">
        <f>SUMIF(第7节!$A$3:$A$313,A8,第7节!D$3:D$313)</f>
        <v/>
      </c>
      <c r="E8" s="16">
        <f>SUMIF(第7节!$A$3:$A$313,A8,第7节!E$3:E$313)</f>
        <v/>
      </c>
      <c r="F8" s="16">
        <f>SUMIF(第7节!$A$3:$A$313,A8,第7节!F$3:F$313)</f>
        <v/>
      </c>
      <c r="G8" s="44">
        <f>IF(D8=0,0,ROUND(F8/(D8*2),3))</f>
        <v/>
      </c>
      <c r="H8" s="16">
        <f>SUMIF(第7节!$A$3:$A$313,A8,第7节!G$3:G$313)</f>
        <v/>
      </c>
      <c r="I8" s="16">
        <f>SUMIF(第7节!$A$3:$A$313,A8,第7节!H$3:H$313)</f>
        <v/>
      </c>
      <c r="J8" s="16">
        <f>SUMIF(第7节!$A$3:$A$313,A8,第7节!I$3:I$313)</f>
        <v/>
      </c>
      <c r="K8" s="44">
        <f>IF(H8=0,0,ROUND(J8/(H8*2),3))</f>
        <v/>
      </c>
      <c r="L8" s="16">
        <f>SUMIF(第7节!$A$3:$A$313,A8,第7节!J$3:J$313)</f>
        <v/>
      </c>
      <c r="M8" s="16">
        <f>SUMIF(第7节!$A$3:$A$313,A8,第7节!K$3:K$313)</f>
        <v/>
      </c>
      <c r="N8" s="16">
        <f>SUMIF(第7节!$A$3:$A$313,A8,第7节!L$3:L$313)</f>
        <v/>
      </c>
      <c r="O8" s="44">
        <f>IF(L8=0,0,ROUND(N8/(L8*3),3))</f>
        <v/>
      </c>
      <c r="P8" s="16">
        <f>SUMIF(第7节!$A$3:$A$313,A8,第7节!M$3:M$313)</f>
        <v/>
      </c>
      <c r="Q8" s="16">
        <f>SUMIF(第7节!$A$3:$A$313,A8,第7节!N$3:N$313)</f>
        <v/>
      </c>
      <c r="R8" s="16">
        <f>SUMIF(第7节!$A$3:$A$313,A8,第7节!O$3:O$313)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SUMIF(第7节!$A$3:$A$313,A8,第7节!S$3:S$313)</f>
        <v/>
      </c>
      <c r="Y8" s="16">
        <f>SUMIF(第7节!$A$3:$A$313,A8,第7节!T$3:T$313)</f>
        <v/>
      </c>
      <c r="Z8" s="16">
        <f>X8+Y8</f>
        <v/>
      </c>
      <c r="AA8" s="16">
        <f>SUMIF(第7节!$A$3:$A$313,A8,第7节!V$3:V$313)</f>
        <v/>
      </c>
      <c r="AB8" s="16">
        <f>SUMIF(第7节!$A$3:$A$313,A8,第7节!W$3:W$313)</f>
        <v/>
      </c>
      <c r="AC8" s="16">
        <f>SUMIF(第7节!$A$3:$A$313,A8,第7节!X$3:X$313)</f>
        <v/>
      </c>
      <c r="AD8" s="18" t="n"/>
    </row>
    <row r="9" ht="22.5" customHeight="1">
      <c r="A9" s="14" t="inlineStr">
        <is>
          <t>施柏宇</t>
        </is>
      </c>
      <c r="B9" s="14">
        <f>COUNTIF(第7节!$A$3:$A$313,A9)</f>
        <v/>
      </c>
      <c r="C9" s="15">
        <f>SUMIF(第7节!$A$3:$A$313,A9,第7节!$C$3:$C$313)-SUMIF(第7节!$A$3:$A$313,A9,第7节!$B$3:$B$313)</f>
        <v/>
      </c>
      <c r="D9" s="16">
        <f>SUMIF(第7节!$A$3:$A$313,A9,第7节!D$3:D$313)</f>
        <v/>
      </c>
      <c r="E9" s="16">
        <f>SUMIF(第7节!$A$3:$A$313,A9,第7节!E$3:E$313)</f>
        <v/>
      </c>
      <c r="F9" s="16">
        <f>SUMIF(第7节!$A$3:$A$313,A9,第7节!F$3:F$313)</f>
        <v/>
      </c>
      <c r="G9" s="44">
        <f>IF(D9=0,0,ROUND(F9/(D9*2),3))</f>
        <v/>
      </c>
      <c r="H9" s="16">
        <f>SUMIF(第7节!$A$3:$A$313,A9,第7节!G$3:G$313)</f>
        <v/>
      </c>
      <c r="I9" s="16">
        <f>SUMIF(第7节!$A$3:$A$313,A9,第7节!H$3:H$313)</f>
        <v/>
      </c>
      <c r="J9" s="16">
        <f>SUMIF(第7节!$A$3:$A$313,A9,第7节!I$3:I$313)</f>
        <v/>
      </c>
      <c r="K9" s="44">
        <f>IF(H9=0,0,ROUND(J9/(H9*2),3))</f>
        <v/>
      </c>
      <c r="L9" s="16">
        <f>SUMIF(第7节!$A$3:$A$313,A9,第7节!J$3:J$313)</f>
        <v/>
      </c>
      <c r="M9" s="16">
        <f>SUMIF(第7节!$A$3:$A$313,A9,第7节!K$3:K$313)</f>
        <v/>
      </c>
      <c r="N9" s="16">
        <f>SUMIF(第7节!$A$3:$A$313,A9,第7节!L$3:L$313)</f>
        <v/>
      </c>
      <c r="O9" s="44">
        <f>IF(L9=0,0,ROUND(N9/(L9*3),3))</f>
        <v/>
      </c>
      <c r="P9" s="16">
        <f>SUMIF(第7节!$A$3:$A$313,A9,第7节!M$3:M$313)</f>
        <v/>
      </c>
      <c r="Q9" s="16">
        <f>SUMIF(第7节!$A$3:$A$313,A9,第7节!N$3:N$313)</f>
        <v/>
      </c>
      <c r="R9" s="16">
        <f>SUMIF(第7节!$A$3:$A$313,A9,第7节!O$3:O$313)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SUMIF(第7节!$A$3:$A$313,A9,第7节!S$3:S$313)</f>
        <v/>
      </c>
      <c r="Y9" s="16">
        <f>SUMIF(第7节!$A$3:$A$313,A9,第7节!T$3:T$313)</f>
        <v/>
      </c>
      <c r="Z9" s="16">
        <f>X9+Y9</f>
        <v/>
      </c>
      <c r="AA9" s="16">
        <f>SUMIF(第7节!$A$3:$A$313,A9,第7节!V$3:V$313)</f>
        <v/>
      </c>
      <c r="AB9" s="16">
        <f>SUMIF(第7节!$A$3:$A$313,A9,第7节!W$3:W$313)</f>
        <v/>
      </c>
      <c r="AC9" s="16">
        <f>SUMIF(第7节!$A$3:$A$313,A9,第7节!X$3:X$313)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COUNTIF(第7节!$A$3:$A$313,A9)</f>
        <v/>
      </c>
      <c r="C10" s="15">
        <f>SUMIF(第7节!$A$3:$A$313,A9,第7节!$C$3:$C$313)-SUMIF(第7节!$A$3:$A$313,A9,第7节!$B$3:$B$313)</f>
        <v/>
      </c>
      <c r="D10" s="16">
        <f>SUMIF(第7节!$A$3:$A$313,A9,第7节!D$3:D$313)</f>
        <v/>
      </c>
      <c r="E10" s="16">
        <f>SUMIF(第7节!$A$3:$A$313,A9,第7节!E$3:E$313)</f>
        <v/>
      </c>
      <c r="F10" s="16">
        <f>SUMIF(第7节!$A$3:$A$313,A9,第7节!F$3:F$313)</f>
        <v/>
      </c>
      <c r="G10" s="44">
        <f>IF(D9=0,0,ROUND(F9/(D9*2),3))</f>
        <v/>
      </c>
      <c r="H10" s="16">
        <f>SUMIF(第7节!$A$3:$A$313,A9,第7节!G$3:G$313)</f>
        <v/>
      </c>
      <c r="I10" s="16">
        <f>SUMIF(第7节!$A$3:$A$313,A9,第7节!H$3:H$313)</f>
        <v/>
      </c>
      <c r="J10" s="16">
        <f>SUMIF(第7节!$A$3:$A$313,A9,第7节!I$3:I$313)</f>
        <v/>
      </c>
      <c r="K10" s="44">
        <f>IF(H9=0,0,ROUND(J9/(H9*2),3))</f>
        <v/>
      </c>
      <c r="L10" s="16">
        <f>SUMIF(第7节!$A$3:$A$313,A9,第7节!J$3:J$313)</f>
        <v/>
      </c>
      <c r="M10" s="16">
        <f>SUMIF(第7节!$A$3:$A$313,A9,第7节!K$3:K$313)</f>
        <v/>
      </c>
      <c r="N10" s="16">
        <f>SUMIF(第7节!$A$3:$A$313,A9,第7节!L$3:L$313)</f>
        <v/>
      </c>
      <c r="O10" s="44">
        <f>IF(L9=0,0,ROUND(N9/(L9*3),3))</f>
        <v/>
      </c>
      <c r="P10" s="16">
        <f>SUMIF(第7节!$A$3:$A$313,A9,第7节!M$3:M$313)</f>
        <v/>
      </c>
      <c r="Q10" s="16">
        <f>SUMIF(第7节!$A$3:$A$313,A9,第7节!N$3:N$313)</f>
        <v/>
      </c>
      <c r="R10" s="16">
        <f>SUMIF(第7节!$A$3:$A$313,A9,第7节!O$3:O$313)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SUMIF(第7节!$A$3:$A$313,A9,第7节!S$3:S$313)</f>
        <v/>
      </c>
      <c r="Y10" s="16">
        <f>SUMIF(第7节!$A$3:$A$313,A9,第7节!T$3:T$313)</f>
        <v/>
      </c>
      <c r="Z10" s="16">
        <f>X9+Y9</f>
        <v/>
      </c>
      <c r="AA10" s="16">
        <f>SUMIF(第7节!$A$3:$A$313,A9,第7节!V$3:V$313)</f>
        <v/>
      </c>
      <c r="AB10" s="16">
        <f>SUMIF(第7节!$A$3:$A$313,A9,第7节!W$3:W$313)</f>
        <v/>
      </c>
      <c r="AC10" s="16">
        <f>SUMIF(第7节!$A$3:$A$313,A9,第7节!X$3:X$313)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COUNTIF(第7节!$A$3:$A$313,A9)</f>
        <v/>
      </c>
      <c r="C11" s="15">
        <f>SUMIF(第7节!$A$3:$A$313,A9,第7节!$C$3:$C$313)-SUMIF(第7节!$A$3:$A$313,A9,第7节!$B$3:$B$313)</f>
        <v/>
      </c>
      <c r="D11" s="16">
        <f>SUMIF(第7节!$A$3:$A$313,A9,第7节!D$3:D$313)</f>
        <v/>
      </c>
      <c r="E11" s="16">
        <f>SUMIF(第7节!$A$3:$A$313,A9,第7节!E$3:E$313)</f>
        <v/>
      </c>
      <c r="F11" s="16">
        <f>SUMIF(第7节!$A$3:$A$313,A9,第7节!F$3:F$313)</f>
        <v/>
      </c>
      <c r="G11" s="44">
        <f>IF(D9=0,0,ROUND(F9/(D9*2),3))</f>
        <v/>
      </c>
      <c r="H11" s="16">
        <f>SUMIF(第7节!$A$3:$A$313,A9,第7节!G$3:G$313)</f>
        <v/>
      </c>
      <c r="I11" s="16">
        <f>SUMIF(第7节!$A$3:$A$313,A9,第7节!H$3:H$313)</f>
        <v/>
      </c>
      <c r="J11" s="16">
        <f>SUMIF(第7节!$A$3:$A$313,A9,第7节!I$3:I$313)</f>
        <v/>
      </c>
      <c r="K11" s="44">
        <f>IF(H9=0,0,ROUND(J9/(H9*2),3))</f>
        <v/>
      </c>
      <c r="L11" s="16">
        <f>SUMIF(第7节!$A$3:$A$313,A9,第7节!J$3:J$313)</f>
        <v/>
      </c>
      <c r="M11" s="16">
        <f>SUMIF(第7节!$A$3:$A$313,A9,第7节!K$3:K$313)</f>
        <v/>
      </c>
      <c r="N11" s="16">
        <f>SUMIF(第7节!$A$3:$A$313,A9,第7节!L$3:L$313)</f>
        <v/>
      </c>
      <c r="O11" s="44">
        <f>IF(L9=0,0,ROUND(N9/(L9*3),3))</f>
        <v/>
      </c>
      <c r="P11" s="16">
        <f>SUMIF(第7节!$A$3:$A$313,A9,第7节!M$3:M$313)</f>
        <v/>
      </c>
      <c r="Q11" s="16">
        <f>SUMIF(第7节!$A$3:$A$313,A9,第7节!N$3:N$313)</f>
        <v/>
      </c>
      <c r="R11" s="16">
        <f>SUMIF(第7节!$A$3:$A$313,A9,第7节!O$3:O$313)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SUMIF(第7节!$A$3:$A$313,A9,第7节!S$3:S$313)</f>
        <v/>
      </c>
      <c r="Y11" s="16">
        <f>SUMIF(第7节!$A$3:$A$313,A9,第7节!T$3:T$313)</f>
        <v/>
      </c>
      <c r="Z11" s="16">
        <f>X9+Y9</f>
        <v/>
      </c>
      <c r="AA11" s="16">
        <f>SUMIF(第7节!$A$3:$A$313,A9,第7节!V$3:V$313)</f>
        <v/>
      </c>
      <c r="AB11" s="16">
        <f>SUMIF(第7节!$A$3:$A$313,A9,第7节!W$3:W$313)</f>
        <v/>
      </c>
      <c r="AC11" s="16">
        <f>SUMIF(第7节!$A$3:$A$313,A9,第7节!X$3:X$313)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COUNTIF(第7节!$A$3:$A$313,A9)</f>
        <v/>
      </c>
      <c r="C12" s="15">
        <f>SUMIF(第7节!$A$3:$A$313,A9,第7节!$C$3:$C$313)-SUMIF(第7节!$A$3:$A$313,A9,第7节!$B$3:$B$313)</f>
        <v/>
      </c>
      <c r="D12" s="16">
        <f>SUMIF(第7节!$A$3:$A$313,A9,第7节!D$3:D$313)</f>
        <v/>
      </c>
      <c r="E12" s="16">
        <f>SUMIF(第7节!$A$3:$A$313,A9,第7节!E$3:E$313)</f>
        <v/>
      </c>
      <c r="F12" s="16">
        <f>SUMIF(第7节!$A$3:$A$313,A9,第7节!F$3:F$313)</f>
        <v/>
      </c>
      <c r="G12" s="44">
        <f>IF(D9=0,0,ROUND(F9/(D9*2),3))</f>
        <v/>
      </c>
      <c r="H12" s="16">
        <f>SUMIF(第7节!$A$3:$A$313,A9,第7节!G$3:G$313)</f>
        <v/>
      </c>
      <c r="I12" s="16">
        <f>SUMIF(第7节!$A$3:$A$313,A9,第7节!H$3:H$313)</f>
        <v/>
      </c>
      <c r="J12" s="16">
        <f>SUMIF(第7节!$A$3:$A$313,A9,第7节!I$3:I$313)</f>
        <v/>
      </c>
      <c r="K12" s="44">
        <f>IF(H9=0,0,ROUND(J9/(H9*2),3))</f>
        <v/>
      </c>
      <c r="L12" s="16">
        <f>SUMIF(第7节!$A$3:$A$313,A9,第7节!J$3:J$313)</f>
        <v/>
      </c>
      <c r="M12" s="16">
        <f>SUMIF(第7节!$A$3:$A$313,A9,第7节!K$3:K$313)</f>
        <v/>
      </c>
      <c r="N12" s="16">
        <f>SUMIF(第7节!$A$3:$A$313,A9,第7节!L$3:L$313)</f>
        <v/>
      </c>
      <c r="O12" s="44">
        <f>IF(L9=0,0,ROUND(N9/(L9*3),3))</f>
        <v/>
      </c>
      <c r="P12" s="16">
        <f>SUMIF(第7节!$A$3:$A$313,A9,第7节!M$3:M$313)</f>
        <v/>
      </c>
      <c r="Q12" s="16">
        <f>SUMIF(第7节!$A$3:$A$313,A9,第7节!N$3:N$313)</f>
        <v/>
      </c>
      <c r="R12" s="16">
        <f>SUMIF(第7节!$A$3:$A$313,A9,第7节!O$3:O$313)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SUMIF(第7节!$A$3:$A$313,A9,第7节!S$3:S$313)</f>
        <v/>
      </c>
      <c r="Y12" s="16">
        <f>SUMIF(第7节!$A$3:$A$313,A9,第7节!T$3:T$313)</f>
        <v/>
      </c>
      <c r="Z12" s="16">
        <f>X9+Y9</f>
        <v/>
      </c>
      <c r="AA12" s="16">
        <f>SUMIF(第7节!$A$3:$A$313,A9,第7节!V$3:V$313)</f>
        <v/>
      </c>
      <c r="AB12" s="16">
        <f>SUMIF(第7节!$A$3:$A$313,A9,第7节!W$3:W$313)</f>
        <v/>
      </c>
      <c r="AC12" s="16">
        <f>SUMIF(第7节!$A$3:$A$313,A9,第7节!X$3:X$313)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COUNTIF(第7节!$A$3:$A$313,A9)</f>
        <v/>
      </c>
      <c r="C13" s="15">
        <f>SUMIF(第7节!$A$3:$A$313,A9,第7节!$C$3:$C$313)-SUMIF(第7节!$A$3:$A$313,A9,第7节!$B$3:$B$313)</f>
        <v/>
      </c>
      <c r="D13" s="16">
        <f>SUMIF(第7节!$A$3:$A$313,A9,第7节!D$3:D$313)</f>
        <v/>
      </c>
      <c r="E13" s="16">
        <f>SUMIF(第7节!$A$3:$A$313,A9,第7节!E$3:E$313)</f>
        <v/>
      </c>
      <c r="F13" s="16">
        <f>SUMIF(第7节!$A$3:$A$313,A9,第7节!F$3:F$313)</f>
        <v/>
      </c>
      <c r="G13" s="44">
        <f>IF(D9=0,0,ROUND(F9/(D9*2),3))</f>
        <v/>
      </c>
      <c r="H13" s="16">
        <f>SUMIF(第7节!$A$3:$A$313,A9,第7节!G$3:G$313)</f>
        <v/>
      </c>
      <c r="I13" s="16">
        <f>SUMIF(第7节!$A$3:$A$313,A9,第7节!H$3:H$313)</f>
        <v/>
      </c>
      <c r="J13" s="16">
        <f>SUMIF(第7节!$A$3:$A$313,A9,第7节!I$3:I$313)</f>
        <v/>
      </c>
      <c r="K13" s="44">
        <f>IF(H9=0,0,ROUND(J9/(H9*2),3))</f>
        <v/>
      </c>
      <c r="L13" s="16">
        <f>SUMIF(第7节!$A$3:$A$313,A9,第7节!J$3:J$313)</f>
        <v/>
      </c>
      <c r="M13" s="16">
        <f>SUMIF(第7节!$A$3:$A$313,A9,第7节!K$3:K$313)</f>
        <v/>
      </c>
      <c r="N13" s="16">
        <f>SUMIF(第7节!$A$3:$A$313,A9,第7节!L$3:L$313)</f>
        <v/>
      </c>
      <c r="O13" s="44">
        <f>IF(L9=0,0,ROUND(N9/(L9*3),3))</f>
        <v/>
      </c>
      <c r="P13" s="16">
        <f>SUMIF(第7节!$A$3:$A$313,A9,第7节!M$3:M$313)</f>
        <v/>
      </c>
      <c r="Q13" s="16">
        <f>SUMIF(第7节!$A$3:$A$313,A9,第7节!N$3:N$313)</f>
        <v/>
      </c>
      <c r="R13" s="16">
        <f>SUMIF(第7节!$A$3:$A$313,A9,第7节!O$3:O$313)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SUMIF(第7节!$A$3:$A$313,A9,第7节!S$3:S$313)</f>
        <v/>
      </c>
      <c r="Y13" s="16">
        <f>SUMIF(第7节!$A$3:$A$313,A9,第7节!T$3:T$313)</f>
        <v/>
      </c>
      <c r="Z13" s="16">
        <f>X9+Y9</f>
        <v/>
      </c>
      <c r="AA13" s="16">
        <f>SUMIF(第7节!$A$3:$A$313,A9,第7节!V$3:V$313)</f>
        <v/>
      </c>
      <c r="AB13" s="16">
        <f>SUMIF(第7节!$A$3:$A$313,A9,第7节!W$3:W$313)</f>
        <v/>
      </c>
      <c r="AC13" s="16">
        <f>SUMIF(第7节!$A$3:$A$313,A9,第7节!X$3:X$313)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COUNTIF(第7节!$A$3:$A$313,A9)</f>
        <v/>
      </c>
      <c r="C14" s="15">
        <f>SUMIF(第7节!$A$3:$A$313,A9,第7节!$C$3:$C$313)-SUMIF(第7节!$A$3:$A$313,A9,第7节!$B$3:$B$313)</f>
        <v/>
      </c>
      <c r="D14" s="16">
        <f>SUMIF(第7节!$A$3:$A$313,A9,第7节!D$3:D$313)</f>
        <v/>
      </c>
      <c r="E14" s="16">
        <f>SUMIF(第7节!$A$3:$A$313,A9,第7节!E$3:E$313)</f>
        <v/>
      </c>
      <c r="F14" s="16">
        <f>SUMIF(第7节!$A$3:$A$313,A9,第7节!F$3:F$313)</f>
        <v/>
      </c>
      <c r="G14" s="44">
        <f>IF(D9=0,0,ROUND(F9/(D9*2),3))</f>
        <v/>
      </c>
      <c r="H14" s="16">
        <f>SUMIF(第7节!$A$3:$A$313,A9,第7节!G$3:G$313)</f>
        <v/>
      </c>
      <c r="I14" s="16">
        <f>SUMIF(第7节!$A$3:$A$313,A9,第7节!H$3:H$313)</f>
        <v/>
      </c>
      <c r="J14" s="16">
        <f>SUMIF(第7节!$A$3:$A$313,A9,第7节!I$3:I$313)</f>
        <v/>
      </c>
      <c r="K14" s="44">
        <f>IF(H9=0,0,ROUND(J9/(H9*2),3))</f>
        <v/>
      </c>
      <c r="L14" s="16">
        <f>SUMIF(第7节!$A$3:$A$313,A9,第7节!J$3:J$313)</f>
        <v/>
      </c>
      <c r="M14" s="16">
        <f>SUMIF(第7节!$A$3:$A$313,A9,第7节!K$3:K$313)</f>
        <v/>
      </c>
      <c r="N14" s="16">
        <f>SUMIF(第7节!$A$3:$A$313,A9,第7节!L$3:L$313)</f>
        <v/>
      </c>
      <c r="O14" s="44">
        <f>IF(L9=0,0,ROUND(N9/(L9*3),3))</f>
        <v/>
      </c>
      <c r="P14" s="16">
        <f>SUMIF(第7节!$A$3:$A$313,A9,第7节!M$3:M$313)</f>
        <v/>
      </c>
      <c r="Q14" s="16">
        <f>SUMIF(第7节!$A$3:$A$313,A9,第7节!N$3:N$313)</f>
        <v/>
      </c>
      <c r="R14" s="16">
        <f>SUMIF(第7节!$A$3:$A$313,A9,第7节!O$3:O$313)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SUMIF(第7节!$A$3:$A$313,A9,第7节!S$3:S$313)</f>
        <v/>
      </c>
      <c r="Y14" s="16">
        <f>SUMIF(第7节!$A$3:$A$313,A9,第7节!T$3:T$313)</f>
        <v/>
      </c>
      <c r="Z14" s="16">
        <f>X9+Y9</f>
        <v/>
      </c>
      <c r="AA14" s="16">
        <f>SUMIF(第7节!$A$3:$A$313,A9,第7节!V$3:V$313)</f>
        <v/>
      </c>
      <c r="AB14" s="16">
        <f>SUMIF(第7节!$A$3:$A$313,A9,第7节!W$3:W$313)</f>
        <v/>
      </c>
      <c r="AC14" s="16">
        <f>SUMIF(第7节!$A$3:$A$313,A9,第7节!X$3:X$313)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COUNTIF(第7节!$A$3:$A$313,A9)</f>
        <v/>
      </c>
      <c r="C15" s="15">
        <f>SUMIF(第7节!$A$3:$A$313,A9,第7节!$C$3:$C$313)-SUMIF(第7节!$A$3:$A$313,A9,第7节!$B$3:$B$313)</f>
        <v/>
      </c>
      <c r="D15" s="16">
        <f>SUMIF(第7节!$A$3:$A$313,A9,第7节!D$3:D$313)</f>
        <v/>
      </c>
      <c r="E15" s="16">
        <f>SUMIF(第7节!$A$3:$A$313,A9,第7节!E$3:E$313)</f>
        <v/>
      </c>
      <c r="F15" s="16">
        <f>SUMIF(第7节!$A$3:$A$313,A9,第7节!F$3:F$313)</f>
        <v/>
      </c>
      <c r="G15" s="44">
        <f>IF(D9=0,0,ROUND(F9/(D9*2),3))</f>
        <v/>
      </c>
      <c r="H15" s="16">
        <f>SUMIF(第7节!$A$3:$A$313,A9,第7节!G$3:G$313)</f>
        <v/>
      </c>
      <c r="I15" s="16">
        <f>SUMIF(第7节!$A$3:$A$313,A9,第7节!H$3:H$313)</f>
        <v/>
      </c>
      <c r="J15" s="16">
        <f>SUMIF(第7节!$A$3:$A$313,A9,第7节!I$3:I$313)</f>
        <v/>
      </c>
      <c r="K15" s="44">
        <f>IF(H9=0,0,ROUND(J9/(H9*2),3))</f>
        <v/>
      </c>
      <c r="L15" s="16">
        <f>SUMIF(第7节!$A$3:$A$313,A9,第7节!J$3:J$313)</f>
        <v/>
      </c>
      <c r="M15" s="16">
        <f>SUMIF(第7节!$A$3:$A$313,A9,第7节!K$3:K$313)</f>
        <v/>
      </c>
      <c r="N15" s="16">
        <f>SUMIF(第7节!$A$3:$A$313,A9,第7节!L$3:L$313)</f>
        <v/>
      </c>
      <c r="O15" s="44">
        <f>IF(L9=0,0,ROUND(N9/(L9*3),3))</f>
        <v/>
      </c>
      <c r="P15" s="16">
        <f>SUMIF(第7节!$A$3:$A$313,A9,第7节!M$3:M$313)</f>
        <v/>
      </c>
      <c r="Q15" s="16">
        <f>SUMIF(第7节!$A$3:$A$313,A9,第7节!N$3:N$313)</f>
        <v/>
      </c>
      <c r="R15" s="16">
        <f>SUMIF(第7节!$A$3:$A$313,A9,第7节!O$3:O$313)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SUMIF(第7节!$A$3:$A$313,A9,第7节!S$3:S$313)</f>
        <v/>
      </c>
      <c r="Y15" s="16">
        <f>SUMIF(第7节!$A$3:$A$313,A9,第7节!T$3:T$313)</f>
        <v/>
      </c>
      <c r="Z15" s="16">
        <f>X9+Y9</f>
        <v/>
      </c>
      <c r="AA15" s="16">
        <f>SUMIF(第7节!$A$3:$A$313,A9,第7节!V$3:V$313)</f>
        <v/>
      </c>
      <c r="AB15" s="16">
        <f>SUMIF(第7节!$A$3:$A$313,A9,第7节!W$3:W$313)</f>
        <v/>
      </c>
      <c r="AC15" s="16">
        <f>SUMIF(第7节!$A$3:$A$313,A9,第7节!X$3:X$313)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SUMPRODUCT(COUNTIF($A$11:$A$17,第7节!$A$3:$A$313))</f>
        <v/>
      </c>
      <c r="C16" s="20">
        <f>SUMPRODUCT(COUNTIF($A$11:$A$17,第7节!$A$3:$A$313),第7节!$C$3:$C$313)-SUMPRODUCT(COUNTIF($A$11:$A$17,第7节!$A$3:$A$313),第7节!$B$3:$B$313)</f>
        <v/>
      </c>
      <c r="D16" s="19">
        <f>SUMPRODUCT(COUNTIF($A$11:$A$17,第7节!$A$3:$A$313),第7节!D$3:D$313)</f>
        <v/>
      </c>
      <c r="E16" s="19">
        <f>SUMPRODUCT(COUNTIF($A$11:$A$17,第7节!$A$3:$A$313),第7节!E$3:E$313)</f>
        <v/>
      </c>
      <c r="F16" s="19">
        <f>SUMPRODUCT(COUNTIF($A$11:$A$17,第7节!$A$3:$A$313),第7节!F$3:F$313)</f>
        <v/>
      </c>
      <c r="G16" s="45">
        <f>IF(D10=0,0,ROUND(F10/(D10*2),3))</f>
        <v/>
      </c>
      <c r="H16" s="19">
        <f>SUMPRODUCT(COUNTIF($A$11:$A$17,第7节!$A$3:$A$313),第7节!G$3:G$313)</f>
        <v/>
      </c>
      <c r="I16" s="19">
        <f>SUMPRODUCT(COUNTIF($A$11:$A$17,第7节!$A$3:$A$313),第7节!H$3:H$313)</f>
        <v/>
      </c>
      <c r="J16" s="19">
        <f>SUMPRODUCT(COUNTIF($A$11:$A$17,第7节!$A$3:$A$313),第7节!I$3:I$313)</f>
        <v/>
      </c>
      <c r="K16" s="45">
        <f>IF(H10=0,0,ROUND(J10/(H10*2),3))</f>
        <v/>
      </c>
      <c r="L16" s="19">
        <f>SUMPRODUCT(COUNTIF($A$11:$A$17,第7节!$A$3:$A$313),第7节!J$3:J$313)</f>
        <v/>
      </c>
      <c r="M16" s="19">
        <f>SUMPRODUCT(COUNTIF($A$11:$A$17,第7节!$A$3:$A$313),第7节!K$3:K$313)</f>
        <v/>
      </c>
      <c r="N16" s="19">
        <f>SUMPRODUCT(COUNTIF($A$11:$A$17,第7节!$A$3:$A$313),第7节!L$3:L$313)</f>
        <v/>
      </c>
      <c r="O16" s="45">
        <f>IF(L10=0,0,ROUND(N10/(L10*3),3))</f>
        <v/>
      </c>
      <c r="P16" s="19">
        <f>SUMPRODUCT(COUNTIF($A$11:$A$17,第7节!$A$3:$A$313),第7节!M$3:M$313)</f>
        <v/>
      </c>
      <c r="Q16" s="19">
        <f>SUMPRODUCT(COUNTIF($A$11:$A$17,第7节!$A$3:$A$313),第7节!N$3:N$313)</f>
        <v/>
      </c>
      <c r="R16" s="19">
        <f>SUMPRODUCT(COUNTIF($A$11:$A$17,第7节!$A$3:$A$313),第7节!O$3:O$313)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SUMPRODUCT(COUNTIF($A$11:$A$17,第7节!$A$3:$A$313),第7节!S$3:S$313)</f>
        <v/>
      </c>
      <c r="Y16" s="19">
        <f>SUMPRODUCT(COUNTIF($A$11:$A$17,第7节!$A$3:$A$313),第7节!T$3:T$313)</f>
        <v/>
      </c>
      <c r="Z16" s="19">
        <f>X10+Y10</f>
        <v/>
      </c>
      <c r="AA16" s="19">
        <f>SUMPRODUCT(COUNTIF($A$11:$A$17,第7节!$A$3:$A$313),第7节!V$3:V$313)</f>
        <v/>
      </c>
      <c r="AB16" s="19">
        <f>SUMPRODUCT(COUNTIF($A$11:$A$17,第7节!$A$3:$A$313),第7节!W$3:W$313)</f>
        <v/>
      </c>
      <c r="AC16" s="19">
        <f>SUMPRODUCT(COUNTIF($A$11:$A$17,第7节!$A$3:$A$313),第7节!X$3:X$313)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COUNTIF(第7节!$A$3:$A$313,A11)</f>
        <v/>
      </c>
      <c r="C17" s="24">
        <f>SUMIF(第7节!$A$3:$A$313,A11,第7节!$C$3:$C$313)-SUMIF(第7节!$A$3:$A$313,A11,第7节!$B$3:$B$313)</f>
        <v/>
      </c>
      <c r="D17" s="25">
        <f>SUMIF(第7节!$A$3:$A$313,A11,第7节!D$3:D$313)</f>
        <v/>
      </c>
      <c r="E17" s="25">
        <f>SUMIF(第7节!$A$3:$A$313,A11,第7节!E$3:E$313)</f>
        <v/>
      </c>
      <c r="F17" s="25">
        <f>SUMIF(第7节!$A$3:$A$313,A11,第7节!F$3:F$313)</f>
        <v/>
      </c>
      <c r="G17" s="46">
        <f>IF(D11=0,0,ROUND(F11/(D11*2),3))</f>
        <v/>
      </c>
      <c r="H17" s="25">
        <f>SUMIF(第7节!$A$3:$A$313,A11,第7节!G$3:G$313)</f>
        <v/>
      </c>
      <c r="I17" s="25">
        <f>SUMIF(第7节!$A$3:$A$313,A11,第7节!H$3:H$313)</f>
        <v/>
      </c>
      <c r="J17" s="25">
        <f>SUMIF(第7节!$A$3:$A$313,A11,第7节!I$3:I$313)</f>
        <v/>
      </c>
      <c r="K17" s="46">
        <f>IF(H11=0,0,ROUND(J11/(H11*2),3))</f>
        <v/>
      </c>
      <c r="L17" s="25">
        <f>SUMIF(第7节!$A$3:$A$313,A11,第7节!J$3:J$313)</f>
        <v/>
      </c>
      <c r="M17" s="25">
        <f>SUMIF(第7节!$A$3:$A$313,A11,第7节!K$3:K$313)</f>
        <v/>
      </c>
      <c r="N17" s="25">
        <f>SUMIF(第7节!$A$3:$A$313,A11,第7节!L$3:L$313)</f>
        <v/>
      </c>
      <c r="O17" s="46">
        <f>IF(L11=0,0,ROUND(N11/(L11*3),3))</f>
        <v/>
      </c>
      <c r="P17" s="25">
        <f>SUMIF(第7节!$A$3:$A$313,A11,第7节!M$3:M$313)</f>
        <v/>
      </c>
      <c r="Q17" s="25">
        <f>SUMIF(第7节!$A$3:$A$313,A11,第7节!N$3:N$313)</f>
        <v/>
      </c>
      <c r="R17" s="25">
        <f>SUMIF(第7节!$A$3:$A$313,A11,第7节!O$3:O$313)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SUMIF(第7节!$A$3:$A$313,A11,第7节!S$3:S$313)</f>
        <v/>
      </c>
      <c r="Y17" s="25">
        <f>SUMIF(第7节!$A$3:$A$313,A11,第7节!T$3:T$313)</f>
        <v/>
      </c>
      <c r="Z17" s="25">
        <f>X11+Y11</f>
        <v/>
      </c>
      <c r="AA17" s="25">
        <f>SUMIF(第7节!$A$3:$A$313,A11,第7节!V$3:V$313)</f>
        <v/>
      </c>
      <c r="AB17" s="25">
        <f>SUMIF(第7节!$A$3:$A$313,A11,第7节!W$3:W$313)</f>
        <v/>
      </c>
      <c r="AC17" s="25">
        <f>SUMIF(第7节!$A$3:$A$313,A11,第7节!X$3:X$313)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COUNTIF(第7节!$A$3:$A$313,A12)</f>
        <v/>
      </c>
      <c r="C18" s="24">
        <f>SUMIF(第7节!$A$3:$A$313,A12,第7节!$C$3:$C$313)-SUMIF(第7节!$A$3:$A$313,A12,第7节!$B$3:$B$313)</f>
        <v/>
      </c>
      <c r="D18" s="25">
        <f>SUMIF(第7节!$A$3:$A$313,A12,第7节!D$3:D$313)</f>
        <v/>
      </c>
      <c r="E18" s="25">
        <f>SUMIF(第7节!$A$3:$A$313,A12,第7节!E$3:E$313)</f>
        <v/>
      </c>
      <c r="F18" s="25">
        <f>SUMIF(第7节!$A$3:$A$313,A12,第7节!F$3:F$313)</f>
        <v/>
      </c>
      <c r="G18" s="46">
        <f>IF(D12=0,0,ROUND(F12/(D12*2),3))</f>
        <v/>
      </c>
      <c r="H18" s="25">
        <f>SUMIF(第7节!$A$3:$A$313,A12,第7节!G$3:G$313)</f>
        <v/>
      </c>
      <c r="I18" s="25">
        <f>SUMIF(第7节!$A$3:$A$313,A12,第7节!H$3:H$313)</f>
        <v/>
      </c>
      <c r="J18" s="25">
        <f>SUMIF(第7节!$A$3:$A$313,A12,第7节!I$3:I$313)</f>
        <v/>
      </c>
      <c r="K18" s="46">
        <f>IF(H12=0,0,ROUND(J12/(H12*2),3))</f>
        <v/>
      </c>
      <c r="L18" s="25">
        <f>SUMIF(第7节!$A$3:$A$313,A12,第7节!J$3:J$313)</f>
        <v/>
      </c>
      <c r="M18" s="25">
        <f>SUMIF(第7节!$A$3:$A$313,A12,第7节!K$3:K$313)</f>
        <v/>
      </c>
      <c r="N18" s="25">
        <f>SUMIF(第7节!$A$3:$A$313,A12,第7节!L$3:L$313)</f>
        <v/>
      </c>
      <c r="O18" s="46">
        <f>IF(L12=0,0,ROUND(N12/(L12*3),3))</f>
        <v/>
      </c>
      <c r="P18" s="25">
        <f>SUMIF(第7节!$A$3:$A$313,A12,第7节!M$3:M$313)</f>
        <v/>
      </c>
      <c r="Q18" s="25">
        <f>SUMIF(第7节!$A$3:$A$313,A12,第7节!N$3:N$313)</f>
        <v/>
      </c>
      <c r="R18" s="25">
        <f>SUMIF(第7节!$A$3:$A$313,A12,第7节!O$3:O$313)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SUMIF(第7节!$A$3:$A$313,A12,第7节!S$3:S$313)</f>
        <v/>
      </c>
      <c r="Y18" s="25">
        <f>SUMIF(第7节!$A$3:$A$313,A12,第7节!T$3:T$313)</f>
        <v/>
      </c>
      <c r="Z18" s="25">
        <f>X12+Y12</f>
        <v/>
      </c>
      <c r="AA18" s="25">
        <f>SUMIF(第7节!$A$3:$A$313,A12,第7节!V$3:V$313)</f>
        <v/>
      </c>
      <c r="AB18" s="25">
        <f>SUMIF(第7节!$A$3:$A$313,A12,第7节!W$3:W$313)</f>
        <v/>
      </c>
      <c r="AC18" s="25">
        <f>SUMIF(第7节!$A$3:$A$313,A12,第7节!X$3:X$313)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COUNTIF(第7节!$A$3:$A$313,A13)</f>
        <v/>
      </c>
      <c r="C19" s="24">
        <f>SUMIF(第7节!$A$3:$A$313,A13,第7节!$C$3:$C$313)-SUMIF(第7节!$A$3:$A$313,A13,第7节!$B$3:$B$313)</f>
        <v/>
      </c>
      <c r="D19" s="25">
        <f>SUMIF(第7节!$A$3:$A$313,A13,第7节!D$3:D$313)</f>
        <v/>
      </c>
      <c r="E19" s="25">
        <f>SUMIF(第7节!$A$3:$A$313,A13,第7节!E$3:E$313)</f>
        <v/>
      </c>
      <c r="F19" s="25">
        <f>SUMIF(第7节!$A$3:$A$313,A13,第7节!F$3:F$313)</f>
        <v/>
      </c>
      <c r="G19" s="46">
        <f>IF(D13=0,0,ROUND(F13/(D13*2),3))</f>
        <v/>
      </c>
      <c r="H19" s="25">
        <f>SUMIF(第7节!$A$3:$A$313,A13,第7节!G$3:G$313)</f>
        <v/>
      </c>
      <c r="I19" s="25">
        <f>SUMIF(第7节!$A$3:$A$313,A13,第7节!H$3:H$313)</f>
        <v/>
      </c>
      <c r="J19" s="25">
        <f>SUMIF(第7节!$A$3:$A$313,A13,第7节!I$3:I$313)</f>
        <v/>
      </c>
      <c r="K19" s="46">
        <f>IF(H13=0,0,ROUND(J13/(H13*2),3))</f>
        <v/>
      </c>
      <c r="L19" s="25">
        <f>SUMIF(第7节!$A$3:$A$313,A13,第7节!J$3:J$313)</f>
        <v/>
      </c>
      <c r="M19" s="25">
        <f>SUMIF(第7节!$A$3:$A$313,A13,第7节!K$3:K$313)</f>
        <v/>
      </c>
      <c r="N19" s="25">
        <f>SUMIF(第7节!$A$3:$A$313,A13,第7节!L$3:L$313)</f>
        <v/>
      </c>
      <c r="O19" s="46">
        <f>IF(L13=0,0,ROUND(N13/(L13*3),3))</f>
        <v/>
      </c>
      <c r="P19" s="25">
        <f>SUMIF(第7节!$A$3:$A$313,A13,第7节!M$3:M$313)</f>
        <v/>
      </c>
      <c r="Q19" s="25">
        <f>SUMIF(第7节!$A$3:$A$313,A13,第7节!N$3:N$313)</f>
        <v/>
      </c>
      <c r="R19" s="25">
        <f>SUMIF(第7节!$A$3:$A$313,A13,第7节!O$3:O$313)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SUMIF(第7节!$A$3:$A$313,A13,第7节!S$3:S$313)</f>
        <v/>
      </c>
      <c r="Y19" s="25">
        <f>SUMIF(第7节!$A$3:$A$313,A13,第7节!T$3:T$313)</f>
        <v/>
      </c>
      <c r="Z19" s="25">
        <f>X13+Y13</f>
        <v/>
      </c>
      <c r="AA19" s="25">
        <f>SUMIF(第7节!$A$3:$A$313,A13,第7节!V$3:V$313)</f>
        <v/>
      </c>
      <c r="AB19" s="25">
        <f>SUMIF(第7节!$A$3:$A$313,A13,第7节!W$3:W$313)</f>
        <v/>
      </c>
      <c r="AC19" s="25">
        <f>SUMIF(第7节!$A$3:$A$313,A13,第7节!X$3:X$313)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COUNTIF(第7节!$A$3:$A$313,A14)</f>
        <v/>
      </c>
      <c r="C20" s="24">
        <f>SUMIF(第7节!$A$3:$A$313,A14,第7节!$C$3:$C$313)-SUMIF(第7节!$A$3:$A$313,A14,第7节!$B$3:$B$313)</f>
        <v/>
      </c>
      <c r="D20" s="25">
        <f>SUMIF(第7节!$A$3:$A$313,A14,第7节!D$3:D$313)</f>
        <v/>
      </c>
      <c r="E20" s="25">
        <f>SUMIF(第7节!$A$3:$A$313,A14,第7节!E$3:E$313)</f>
        <v/>
      </c>
      <c r="F20" s="25">
        <f>SUMIF(第7节!$A$3:$A$313,A14,第7节!F$3:F$313)</f>
        <v/>
      </c>
      <c r="G20" s="46">
        <f>IF(D14=0,0,ROUND(F14/(D14*2),3))</f>
        <v/>
      </c>
      <c r="H20" s="25">
        <f>SUMIF(第7节!$A$3:$A$313,A14,第7节!G$3:G$313)</f>
        <v/>
      </c>
      <c r="I20" s="25">
        <f>SUMIF(第7节!$A$3:$A$313,A14,第7节!H$3:H$313)</f>
        <v/>
      </c>
      <c r="J20" s="25">
        <f>SUMIF(第7节!$A$3:$A$313,A14,第7节!I$3:I$313)</f>
        <v/>
      </c>
      <c r="K20" s="46">
        <f>IF(H14=0,0,ROUND(J14/(H14*2),3))</f>
        <v/>
      </c>
      <c r="L20" s="25">
        <f>SUMIF(第7节!$A$3:$A$313,A14,第7节!J$3:J$313)</f>
        <v/>
      </c>
      <c r="M20" s="25">
        <f>SUMIF(第7节!$A$3:$A$313,A14,第7节!K$3:K$313)</f>
        <v/>
      </c>
      <c r="N20" s="25">
        <f>SUMIF(第7节!$A$3:$A$313,A14,第7节!L$3:L$313)</f>
        <v/>
      </c>
      <c r="O20" s="46">
        <f>IF(L14=0,0,ROUND(N14/(L14*3),3))</f>
        <v/>
      </c>
      <c r="P20" s="25">
        <f>SUMIF(第7节!$A$3:$A$313,A14,第7节!M$3:M$313)</f>
        <v/>
      </c>
      <c r="Q20" s="25">
        <f>SUMIF(第7节!$A$3:$A$313,A14,第7节!N$3:N$313)</f>
        <v/>
      </c>
      <c r="R20" s="25">
        <f>SUMIF(第7节!$A$3:$A$313,A14,第7节!O$3:O$313)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SUMIF(第7节!$A$3:$A$313,A14,第7节!S$3:S$313)</f>
        <v/>
      </c>
      <c r="Y20" s="25">
        <f>SUMIF(第7节!$A$3:$A$313,A14,第7节!T$3:T$313)</f>
        <v/>
      </c>
      <c r="Z20" s="25">
        <f>X14+Y14</f>
        <v/>
      </c>
      <c r="AA20" s="25">
        <f>SUMIF(第7节!$A$3:$A$313,A14,第7节!V$3:V$313)</f>
        <v/>
      </c>
      <c r="AB20" s="25">
        <f>SUMIF(第7节!$A$3:$A$313,A14,第7节!W$3:W$313)</f>
        <v/>
      </c>
      <c r="AC20" s="25">
        <f>SUMIF(第7节!$A$3:$A$313,A14,第7节!X$3:X$313)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COUNTIF(第7节!$A$3:$A$313,A15)</f>
        <v/>
      </c>
      <c r="C21" s="24">
        <f>SUMIF(第7节!$A$3:$A$313,A15,第7节!$C$3:$C$313)-SUMIF(第7节!$A$3:$A$313,A15,第7节!$B$3:$B$313)</f>
        <v/>
      </c>
      <c r="D21" s="25">
        <f>SUMIF(第7节!$A$3:$A$313,A15,第7节!D$3:D$313)</f>
        <v/>
      </c>
      <c r="E21" s="25">
        <f>SUMIF(第7节!$A$3:$A$313,A15,第7节!E$3:E$313)</f>
        <v/>
      </c>
      <c r="F21" s="25">
        <f>SUMIF(第7节!$A$3:$A$313,A15,第7节!F$3:F$313)</f>
        <v/>
      </c>
      <c r="G21" s="46">
        <f>IF(D15=0,0,ROUND(F15/(D15*2),3))</f>
        <v/>
      </c>
      <c r="H21" s="25">
        <f>SUMIF(第7节!$A$3:$A$313,A15,第7节!G$3:G$313)</f>
        <v/>
      </c>
      <c r="I21" s="25">
        <f>SUMIF(第7节!$A$3:$A$313,A15,第7节!H$3:H$313)</f>
        <v/>
      </c>
      <c r="J21" s="25">
        <f>SUMIF(第7节!$A$3:$A$313,A15,第7节!I$3:I$313)</f>
        <v/>
      </c>
      <c r="K21" s="46">
        <f>IF(H15=0,0,ROUND(J15/(H15*2),3))</f>
        <v/>
      </c>
      <c r="L21" s="25">
        <f>SUMIF(第7节!$A$3:$A$313,A15,第7节!J$3:J$313)</f>
        <v/>
      </c>
      <c r="M21" s="25">
        <f>SUMIF(第7节!$A$3:$A$313,A15,第7节!K$3:K$313)</f>
        <v/>
      </c>
      <c r="N21" s="25">
        <f>SUMIF(第7节!$A$3:$A$313,A15,第7节!L$3:L$313)</f>
        <v/>
      </c>
      <c r="O21" s="46">
        <f>IF(L15=0,0,ROUND(N15/(L15*3),3))</f>
        <v/>
      </c>
      <c r="P21" s="25">
        <f>SUMIF(第7节!$A$3:$A$313,A15,第7节!M$3:M$313)</f>
        <v/>
      </c>
      <c r="Q21" s="25">
        <f>SUMIF(第7节!$A$3:$A$313,A15,第7节!N$3:N$313)</f>
        <v/>
      </c>
      <c r="R21" s="25">
        <f>SUMIF(第7节!$A$3:$A$313,A15,第7节!O$3:O$313)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SUMIF(第7节!$A$3:$A$313,A15,第7节!S$3:S$313)</f>
        <v/>
      </c>
      <c r="Y21" s="25">
        <f>SUMIF(第7节!$A$3:$A$313,A15,第7节!T$3:T$313)</f>
        <v/>
      </c>
      <c r="Z21" s="25">
        <f>X15+Y15</f>
        <v/>
      </c>
      <c r="AA21" s="25">
        <f>SUMIF(第7节!$A$3:$A$313,A15,第7节!V$3:V$313)</f>
        <v/>
      </c>
      <c r="AB21" s="25">
        <f>SUMIF(第7节!$A$3:$A$313,A15,第7节!W$3:W$313)</f>
        <v/>
      </c>
      <c r="AC21" s="25">
        <f>SUMIF(第7节!$A$3:$A$313,A15,第7节!X$3:X$313)</f>
        <v/>
      </c>
      <c r="AD21" s="27" t="n"/>
    </row>
    <row r="22">
      <c r="A22" s="23" t="inlineStr">
        <is>
          <t>许馨墨</t>
        </is>
      </c>
      <c r="B22" s="23">
        <f>COUNTIF(第7节!$A$3:$A$313,A16)</f>
        <v/>
      </c>
      <c r="C22" s="24">
        <f>SUMIF(第7节!$A$3:$A$313,A16,第7节!$C$3:$C$313)-SUMIF(第7节!$A$3:$A$313,A16,第7节!$B$3:$B$313)</f>
        <v/>
      </c>
      <c r="D22" s="25">
        <f>SUMIF(第7节!$A$3:$A$313,A16,第7节!D$3:D$313)</f>
        <v/>
      </c>
      <c r="E22" s="25">
        <f>SUMIF(第7节!$A$3:$A$313,A16,第7节!E$3:E$313)</f>
        <v/>
      </c>
      <c r="F22" s="25">
        <f>SUMIF(第7节!$A$3:$A$313,A16,第7节!F$3:F$313)</f>
        <v/>
      </c>
      <c r="G22" s="46">
        <f>IF(D16=0,0,ROUND(F16/(D16*2),3))</f>
        <v/>
      </c>
      <c r="H22" s="25">
        <f>SUMIF(第7节!$A$3:$A$313,A16,第7节!G$3:G$313)</f>
        <v/>
      </c>
      <c r="I22" s="25">
        <f>SUMIF(第7节!$A$3:$A$313,A16,第7节!H$3:H$313)</f>
        <v/>
      </c>
      <c r="J22" s="25">
        <f>SUMIF(第7节!$A$3:$A$313,A16,第7节!I$3:I$313)</f>
        <v/>
      </c>
      <c r="K22" s="46">
        <f>IF(H16=0,0,ROUND(J16/(H16*2),3))</f>
        <v/>
      </c>
      <c r="L22" s="25">
        <f>SUMIF(第7节!$A$3:$A$313,A16,第7节!J$3:J$313)</f>
        <v/>
      </c>
      <c r="M22" s="25">
        <f>SUMIF(第7节!$A$3:$A$313,A16,第7节!K$3:K$313)</f>
        <v/>
      </c>
      <c r="N22" s="25">
        <f>SUMIF(第7节!$A$3:$A$313,A16,第7节!L$3:L$313)</f>
        <v/>
      </c>
      <c r="O22" s="46">
        <f>IF(L16=0,0,ROUND(N16/(L16*3),3))</f>
        <v/>
      </c>
      <c r="P22" s="25">
        <f>SUMIF(第7节!$A$3:$A$313,A16,第7节!M$3:M$313)</f>
        <v/>
      </c>
      <c r="Q22" s="25">
        <f>SUMIF(第7节!$A$3:$A$313,A16,第7节!N$3:N$313)</f>
        <v/>
      </c>
      <c r="R22" s="25">
        <f>SUMIF(第7节!$A$3:$A$313,A16,第7节!O$3:O$313)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SUMIF(第7节!$A$3:$A$313,A16,第7节!S$3:S$313)</f>
        <v/>
      </c>
      <c r="Y22" s="25">
        <f>SUMIF(第7节!$A$3:$A$313,A16,第7节!T$3:T$313)</f>
        <v/>
      </c>
      <c r="Z22" s="25">
        <f>X16+Y16</f>
        <v/>
      </c>
      <c r="AA22" s="25">
        <f>SUMIF(第7节!$A$3:$A$313,A16,第7节!V$3:V$313)</f>
        <v/>
      </c>
      <c r="AB22" s="25">
        <f>SUMIF(第7节!$A$3:$A$313,A16,第7节!W$3:W$313)</f>
        <v/>
      </c>
      <c r="AC22" s="25">
        <f>SUMIF(第7节!$A$3:$A$313,A16,第7节!X$3:X$313)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COUNTIF(第7节!$A$3:$A$313,A17)</f>
        <v/>
      </c>
      <c r="C23" s="24">
        <f>SUMIF(第7节!$A$3:$A$313,A17,第7节!$C$3:$C$313)-SUMIF(第7节!$A$3:$A$313,A17,第7节!$B$3:$B$313)</f>
        <v/>
      </c>
      <c r="D23" s="25">
        <f>SUMIF(第7节!$A$3:$A$313,A17,第7节!D$3:D$313)</f>
        <v/>
      </c>
      <c r="E23" s="25">
        <f>SUMIF(第7节!$A$3:$A$313,A17,第7节!E$3:E$313)</f>
        <v/>
      </c>
      <c r="F23" s="25">
        <f>SUMIF(第7节!$A$3:$A$313,A17,第7节!F$3:F$313)</f>
        <v/>
      </c>
      <c r="G23" s="46">
        <f>IF(D17=0,0,ROUND(F17/(D17*2),3))</f>
        <v/>
      </c>
      <c r="H23" s="25">
        <f>SUMIF(第7节!$A$3:$A$313,A17,第7节!G$3:G$313)</f>
        <v/>
      </c>
      <c r="I23" s="25">
        <f>SUMIF(第7节!$A$3:$A$313,A17,第7节!H$3:H$313)</f>
        <v/>
      </c>
      <c r="J23" s="25">
        <f>SUMIF(第7节!$A$3:$A$313,A17,第7节!I$3:I$313)</f>
        <v/>
      </c>
      <c r="K23" s="46">
        <f>IF(H17=0,0,ROUND(J17/(H17*2),3))</f>
        <v/>
      </c>
      <c r="L23" s="25">
        <f>SUMIF(第7节!$A$3:$A$313,A17,第7节!J$3:J$313)</f>
        <v/>
      </c>
      <c r="M23" s="25">
        <f>SUMIF(第7节!$A$3:$A$313,A17,第7节!K$3:K$313)</f>
        <v/>
      </c>
      <c r="N23" s="25">
        <f>SUMIF(第7节!$A$3:$A$313,A17,第7节!L$3:L$313)</f>
        <v/>
      </c>
      <c r="O23" s="46">
        <f>IF(L17=0,0,ROUND(N17/(L17*3),3))</f>
        <v/>
      </c>
      <c r="P23" s="25">
        <f>SUMIF(第7节!$A$3:$A$313,A17,第7节!M$3:M$313)</f>
        <v/>
      </c>
      <c r="Q23" s="25">
        <f>SUMIF(第7节!$A$3:$A$313,A17,第7节!N$3:N$313)</f>
        <v/>
      </c>
      <c r="R23" s="25">
        <f>SUMIF(第7节!$A$3:$A$313,A17,第7节!O$3:O$313)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SUMIF(第7节!$A$3:$A$313,A17,第7节!S$3:S$313)</f>
        <v/>
      </c>
      <c r="Y23" s="25">
        <f>SUMIF(第7节!$A$3:$A$313,A17,第7节!T$3:T$313)</f>
        <v/>
      </c>
      <c r="Z23" s="25">
        <f>X17+Y17</f>
        <v/>
      </c>
      <c r="AA23" s="25">
        <f>SUMIF(第7节!$A$3:$A$313,A17,第7节!V$3:V$313)</f>
        <v/>
      </c>
      <c r="AB23" s="25">
        <f>SUMIF(第7节!$A$3:$A$313,A17,第7节!W$3:W$313)</f>
        <v/>
      </c>
      <c r="AC23" s="25">
        <f>SUMIF(第7节!$A$3:$A$313,A17,第7节!X$3:X$313)</f>
        <v/>
      </c>
      <c r="AD23" s="27" t="n"/>
    </row>
    <row r="24">
      <c r="A24" s="23" t="inlineStr">
        <is>
          <t>B队球员8</t>
        </is>
      </c>
      <c r="B24" s="23">
        <f>COUNTIF(第7节!$A$3:$A$313,A17)</f>
        <v/>
      </c>
      <c r="C24" s="24">
        <f>SUMIF(第7节!$A$3:$A$313,A17,第7节!$C$3:$C$313)-SUMIF(第7节!$A$3:$A$313,A17,第7节!$B$3:$B$313)</f>
        <v/>
      </c>
      <c r="D24" s="25">
        <f>SUMIF(第7节!$A$3:$A$313,A17,第7节!D$3:D$313)</f>
        <v/>
      </c>
      <c r="E24" s="25">
        <f>SUMIF(第7节!$A$3:$A$313,A17,第7节!E$3:E$313)</f>
        <v/>
      </c>
      <c r="F24" s="25">
        <f>SUMIF(第7节!$A$3:$A$313,A17,第7节!F$3:F$313)</f>
        <v/>
      </c>
      <c r="G24" s="46">
        <f>IF(D17=0,0,ROUND(F17/(D17*2),3))</f>
        <v/>
      </c>
      <c r="H24" s="25">
        <f>SUMIF(第7节!$A$3:$A$313,A17,第7节!G$3:G$313)</f>
        <v/>
      </c>
      <c r="I24" s="25">
        <f>SUMIF(第7节!$A$3:$A$313,A17,第7节!H$3:H$313)</f>
        <v/>
      </c>
      <c r="J24" s="25">
        <f>SUMIF(第7节!$A$3:$A$313,A17,第7节!I$3:I$313)</f>
        <v/>
      </c>
      <c r="K24" s="46">
        <f>IF(H17=0,0,ROUND(J17/(H17*2),3))</f>
        <v/>
      </c>
      <c r="L24" s="25">
        <f>SUMIF(第7节!$A$3:$A$313,A17,第7节!J$3:J$313)</f>
        <v/>
      </c>
      <c r="M24" s="25">
        <f>SUMIF(第7节!$A$3:$A$313,A17,第7节!K$3:K$313)</f>
        <v/>
      </c>
      <c r="N24" s="25">
        <f>SUMIF(第7节!$A$3:$A$313,A17,第7节!L$3:L$313)</f>
        <v/>
      </c>
      <c r="O24" s="46">
        <f>IF(L17=0,0,ROUND(N17/(L17*3),3))</f>
        <v/>
      </c>
      <c r="P24" s="25">
        <f>SUMIF(第7节!$A$3:$A$313,A17,第7节!M$3:M$313)</f>
        <v/>
      </c>
      <c r="Q24" s="25">
        <f>SUMIF(第7节!$A$3:$A$313,A17,第7节!N$3:N$313)</f>
        <v/>
      </c>
      <c r="R24" s="25">
        <f>SUMIF(第7节!$A$3:$A$313,A17,第7节!O$3:O$313)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SUMIF(第7节!$A$3:$A$313,A17,第7节!S$3:S$313)</f>
        <v/>
      </c>
      <c r="Y24" s="25">
        <f>SUMIF(第7节!$A$3:$A$313,A17,第7节!T$3:T$313)</f>
        <v/>
      </c>
      <c r="Z24" s="25">
        <f>X17+Y17</f>
        <v/>
      </c>
      <c r="AA24" s="25">
        <f>SUMIF(第7节!$A$3:$A$313,A17,第7节!V$3:V$313)</f>
        <v/>
      </c>
      <c r="AB24" s="25">
        <f>SUMIF(第7节!$A$3:$A$313,A17,第7节!W$3:W$313)</f>
        <v/>
      </c>
      <c r="AC24" s="25">
        <f>SUMIF(第7节!$A$3:$A$313,A17,第7节!X$3:X$313)</f>
        <v/>
      </c>
      <c r="AD24" s="27" t="n"/>
    </row>
    <row r="25">
      <c r="A25" s="23" t="inlineStr">
        <is>
          <t>B队球员9</t>
        </is>
      </c>
      <c r="B25" s="23">
        <f>COUNTIF(第7节!$A$3:$A$313,A17)</f>
        <v/>
      </c>
      <c r="C25" s="24">
        <f>SUMIF(第7节!$A$3:$A$313,A17,第7节!$C$3:$C$313)-SUMIF(第7节!$A$3:$A$313,A17,第7节!$B$3:$B$313)</f>
        <v/>
      </c>
      <c r="D25" s="25">
        <f>SUMIF(第7节!$A$3:$A$313,A17,第7节!D$3:D$313)</f>
        <v/>
      </c>
      <c r="E25" s="25">
        <f>SUMIF(第7节!$A$3:$A$313,A17,第7节!E$3:E$313)</f>
        <v/>
      </c>
      <c r="F25" s="25">
        <f>SUMIF(第7节!$A$3:$A$313,A17,第7节!F$3:F$313)</f>
        <v/>
      </c>
      <c r="G25" s="46">
        <f>IF(D17=0,0,ROUND(F17/(D17*2),3))</f>
        <v/>
      </c>
      <c r="H25" s="25">
        <f>SUMIF(第7节!$A$3:$A$313,A17,第7节!G$3:G$313)</f>
        <v/>
      </c>
      <c r="I25" s="25">
        <f>SUMIF(第7节!$A$3:$A$313,A17,第7节!H$3:H$313)</f>
        <v/>
      </c>
      <c r="J25" s="25">
        <f>SUMIF(第7节!$A$3:$A$313,A17,第7节!I$3:I$313)</f>
        <v/>
      </c>
      <c r="K25" s="46">
        <f>IF(H17=0,0,ROUND(J17/(H17*2),3))</f>
        <v/>
      </c>
      <c r="L25" s="25">
        <f>SUMIF(第7节!$A$3:$A$313,A17,第7节!J$3:J$313)</f>
        <v/>
      </c>
      <c r="M25" s="25">
        <f>SUMIF(第7节!$A$3:$A$313,A17,第7节!K$3:K$313)</f>
        <v/>
      </c>
      <c r="N25" s="25">
        <f>SUMIF(第7节!$A$3:$A$313,A17,第7节!L$3:L$313)</f>
        <v/>
      </c>
      <c r="O25" s="46">
        <f>IF(L17=0,0,ROUND(N17/(L17*3),3))</f>
        <v/>
      </c>
      <c r="P25" s="25">
        <f>SUMIF(第7节!$A$3:$A$313,A17,第7节!M$3:M$313)</f>
        <v/>
      </c>
      <c r="Q25" s="25">
        <f>SUMIF(第7节!$A$3:$A$313,A17,第7节!N$3:N$313)</f>
        <v/>
      </c>
      <c r="R25" s="25">
        <f>SUMIF(第7节!$A$3:$A$313,A17,第7节!O$3:O$313)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SUMIF(第7节!$A$3:$A$313,A17,第7节!S$3:S$313)</f>
        <v/>
      </c>
      <c r="Y25" s="25">
        <f>SUMIF(第7节!$A$3:$A$313,A17,第7节!T$3:T$313)</f>
        <v/>
      </c>
      <c r="Z25" s="25">
        <f>X17+Y17</f>
        <v/>
      </c>
      <c r="AA25" s="25">
        <f>SUMIF(第7节!$A$3:$A$313,A17,第7节!V$3:V$313)</f>
        <v/>
      </c>
      <c r="AB25" s="25">
        <f>SUMIF(第7节!$A$3:$A$313,A17,第7节!W$3:W$313)</f>
        <v/>
      </c>
      <c r="AC25" s="25">
        <f>SUMIF(第7节!$A$3:$A$313,A17,第7节!X$3:X$313)</f>
        <v/>
      </c>
      <c r="AD25" s="27" t="n"/>
    </row>
    <row r="26">
      <c r="A26" s="23" t="inlineStr">
        <is>
          <t>B队球员10</t>
        </is>
      </c>
      <c r="B26" s="23">
        <f>COUNTIF(第7节!$A$3:$A$313,A17)</f>
        <v/>
      </c>
      <c r="C26" s="24">
        <f>SUMIF(第7节!$A$3:$A$313,A17,第7节!$C$3:$C$313)-SUMIF(第7节!$A$3:$A$313,A17,第7节!$B$3:$B$313)</f>
        <v/>
      </c>
      <c r="D26" s="25">
        <f>SUMIF(第7节!$A$3:$A$313,A17,第7节!D$3:D$313)</f>
        <v/>
      </c>
      <c r="E26" s="25">
        <f>SUMIF(第7节!$A$3:$A$313,A17,第7节!E$3:E$313)</f>
        <v/>
      </c>
      <c r="F26" s="25">
        <f>SUMIF(第7节!$A$3:$A$313,A17,第7节!F$3:F$313)</f>
        <v/>
      </c>
      <c r="G26" s="46">
        <f>IF(D17=0,0,ROUND(F17/(D17*2),3))</f>
        <v/>
      </c>
      <c r="H26" s="25">
        <f>SUMIF(第7节!$A$3:$A$313,A17,第7节!G$3:G$313)</f>
        <v/>
      </c>
      <c r="I26" s="25">
        <f>SUMIF(第7节!$A$3:$A$313,A17,第7节!H$3:H$313)</f>
        <v/>
      </c>
      <c r="J26" s="25">
        <f>SUMIF(第7节!$A$3:$A$313,A17,第7节!I$3:I$313)</f>
        <v/>
      </c>
      <c r="K26" s="46">
        <f>IF(H17=0,0,ROUND(J17/(H17*2),3))</f>
        <v/>
      </c>
      <c r="L26" s="25">
        <f>SUMIF(第7节!$A$3:$A$313,A17,第7节!J$3:J$313)</f>
        <v/>
      </c>
      <c r="M26" s="25">
        <f>SUMIF(第7节!$A$3:$A$313,A17,第7节!K$3:K$313)</f>
        <v/>
      </c>
      <c r="N26" s="25">
        <f>SUMIF(第7节!$A$3:$A$313,A17,第7节!L$3:L$313)</f>
        <v/>
      </c>
      <c r="O26" s="46">
        <f>IF(L17=0,0,ROUND(N17/(L17*3),3))</f>
        <v/>
      </c>
      <c r="P26" s="25">
        <f>SUMIF(第7节!$A$3:$A$313,A17,第7节!M$3:M$313)</f>
        <v/>
      </c>
      <c r="Q26" s="25">
        <f>SUMIF(第7节!$A$3:$A$313,A17,第7节!N$3:N$313)</f>
        <v/>
      </c>
      <c r="R26" s="25">
        <f>SUMIF(第7节!$A$3:$A$313,A17,第7节!O$3:O$313)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SUMIF(第7节!$A$3:$A$313,A17,第7节!S$3:S$313)</f>
        <v/>
      </c>
      <c r="Y26" s="25">
        <f>SUMIF(第7节!$A$3:$A$313,A17,第7节!T$3:T$313)</f>
        <v/>
      </c>
      <c r="Z26" s="25">
        <f>X17+Y17</f>
        <v/>
      </c>
      <c r="AA26" s="25">
        <f>SUMIF(第7节!$A$3:$A$313,A17,第7节!V$3:V$313)</f>
        <v/>
      </c>
      <c r="AB26" s="25">
        <f>SUMIF(第7节!$A$3:$A$313,A17,第7节!W$3:W$313)</f>
        <v/>
      </c>
      <c r="AC26" s="25">
        <f>SUMIF(第7节!$A$3:$A$313,A17,第7节!X$3:X$313)</f>
        <v/>
      </c>
      <c r="AD26" s="27" t="n"/>
    </row>
    <row r="27">
      <c r="A27" s="23" t="inlineStr">
        <is>
          <t>B队球员11</t>
        </is>
      </c>
      <c r="B27" s="23">
        <f>COUNTIF(第7节!$A$3:$A$313,A17)</f>
        <v/>
      </c>
      <c r="C27" s="24">
        <f>SUMIF(第7节!$A$3:$A$313,A17,第7节!$C$3:$C$313)-SUMIF(第7节!$A$3:$A$313,A17,第7节!$B$3:$B$313)</f>
        <v/>
      </c>
      <c r="D27" s="25">
        <f>SUMIF(第7节!$A$3:$A$313,A17,第7节!D$3:D$313)</f>
        <v/>
      </c>
      <c r="E27" s="25">
        <f>SUMIF(第7节!$A$3:$A$313,A17,第7节!E$3:E$313)</f>
        <v/>
      </c>
      <c r="F27" s="25">
        <f>SUMIF(第7节!$A$3:$A$313,A17,第7节!F$3:F$313)</f>
        <v/>
      </c>
      <c r="G27" s="46">
        <f>IF(D17=0,0,ROUND(F17/(D17*2),3))</f>
        <v/>
      </c>
      <c r="H27" s="25">
        <f>SUMIF(第7节!$A$3:$A$313,A17,第7节!G$3:G$313)</f>
        <v/>
      </c>
      <c r="I27" s="25">
        <f>SUMIF(第7节!$A$3:$A$313,A17,第7节!H$3:H$313)</f>
        <v/>
      </c>
      <c r="J27" s="25">
        <f>SUMIF(第7节!$A$3:$A$313,A17,第7节!I$3:I$313)</f>
        <v/>
      </c>
      <c r="K27" s="46">
        <f>IF(H17=0,0,ROUND(J17/(H17*2),3))</f>
        <v/>
      </c>
      <c r="L27" s="25">
        <f>SUMIF(第7节!$A$3:$A$313,A17,第7节!J$3:J$313)</f>
        <v/>
      </c>
      <c r="M27" s="25">
        <f>SUMIF(第7节!$A$3:$A$313,A17,第7节!K$3:K$313)</f>
        <v/>
      </c>
      <c r="N27" s="25">
        <f>SUMIF(第7节!$A$3:$A$313,A17,第7节!L$3:L$313)</f>
        <v/>
      </c>
      <c r="O27" s="46">
        <f>IF(L17=0,0,ROUND(N17/(L17*3),3))</f>
        <v/>
      </c>
      <c r="P27" s="25">
        <f>SUMIF(第7节!$A$3:$A$313,A17,第7节!M$3:M$313)</f>
        <v/>
      </c>
      <c r="Q27" s="25">
        <f>SUMIF(第7节!$A$3:$A$313,A17,第7节!N$3:N$313)</f>
        <v/>
      </c>
      <c r="R27" s="25">
        <f>SUMIF(第7节!$A$3:$A$313,A17,第7节!O$3:O$313)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SUMIF(第7节!$A$3:$A$313,A17,第7节!S$3:S$313)</f>
        <v/>
      </c>
      <c r="Y27" s="25">
        <f>SUMIF(第7节!$A$3:$A$313,A17,第7节!T$3:T$313)</f>
        <v/>
      </c>
      <c r="Z27" s="25">
        <f>X17+Y17</f>
        <v/>
      </c>
      <c r="AA27" s="25">
        <f>SUMIF(第7节!$A$3:$A$313,A17,第7节!V$3:V$313)</f>
        <v/>
      </c>
      <c r="AB27" s="25">
        <f>SUMIF(第7节!$A$3:$A$313,A17,第7节!W$3:W$313)</f>
        <v/>
      </c>
      <c r="AC27" s="25">
        <f>SUMIF(第7节!$A$3:$A$313,A17,第7节!X$3:X$313)</f>
        <v/>
      </c>
      <c r="AD27" s="27" t="n"/>
    </row>
    <row r="28">
      <c r="A28" s="23" t="inlineStr">
        <is>
          <t>B队球员12</t>
        </is>
      </c>
      <c r="B28" s="23">
        <f>COUNTIF(第7节!$A$3:$A$313,A17)</f>
        <v/>
      </c>
      <c r="C28" s="24">
        <f>SUMIF(第7节!$A$3:$A$313,A17,第7节!$C$3:$C$313)-SUMIF(第7节!$A$3:$A$313,A17,第7节!$B$3:$B$313)</f>
        <v/>
      </c>
      <c r="D28" s="25">
        <f>SUMIF(第7节!$A$3:$A$313,A17,第7节!D$3:D$313)</f>
        <v/>
      </c>
      <c r="E28" s="25">
        <f>SUMIF(第7节!$A$3:$A$313,A17,第7节!E$3:E$313)</f>
        <v/>
      </c>
      <c r="F28" s="25">
        <f>SUMIF(第7节!$A$3:$A$313,A17,第7节!F$3:F$313)</f>
        <v/>
      </c>
      <c r="G28" s="46">
        <f>IF(D17=0,0,ROUND(F17/(D17*2),3))</f>
        <v/>
      </c>
      <c r="H28" s="25">
        <f>SUMIF(第7节!$A$3:$A$313,A17,第7节!G$3:G$313)</f>
        <v/>
      </c>
      <c r="I28" s="25">
        <f>SUMIF(第7节!$A$3:$A$313,A17,第7节!H$3:H$313)</f>
        <v/>
      </c>
      <c r="J28" s="25">
        <f>SUMIF(第7节!$A$3:$A$313,A17,第7节!I$3:I$313)</f>
        <v/>
      </c>
      <c r="K28" s="46">
        <f>IF(H17=0,0,ROUND(J17/(H17*2),3))</f>
        <v/>
      </c>
      <c r="L28" s="25">
        <f>SUMIF(第7节!$A$3:$A$313,A17,第7节!J$3:J$313)</f>
        <v/>
      </c>
      <c r="M28" s="25">
        <f>SUMIF(第7节!$A$3:$A$313,A17,第7节!K$3:K$313)</f>
        <v/>
      </c>
      <c r="N28" s="25">
        <f>SUMIF(第7节!$A$3:$A$313,A17,第7节!L$3:L$313)</f>
        <v/>
      </c>
      <c r="O28" s="46">
        <f>IF(L17=0,0,ROUND(N17/(L17*3),3))</f>
        <v/>
      </c>
      <c r="P28" s="25">
        <f>SUMIF(第7节!$A$3:$A$313,A17,第7节!M$3:M$313)</f>
        <v/>
      </c>
      <c r="Q28" s="25">
        <f>SUMIF(第7节!$A$3:$A$313,A17,第7节!N$3:N$313)</f>
        <v/>
      </c>
      <c r="R28" s="25">
        <f>SUMIF(第7节!$A$3:$A$313,A17,第7节!O$3:O$313)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SUMIF(第7节!$A$3:$A$313,A17,第7节!S$3:S$313)</f>
        <v/>
      </c>
      <c r="Y28" s="25">
        <f>SUMIF(第7节!$A$3:$A$313,A17,第7节!T$3:T$313)</f>
        <v/>
      </c>
      <c r="Z28" s="25">
        <f>X17+Y17</f>
        <v/>
      </c>
      <c r="AA28" s="25">
        <f>SUMIF(第7节!$A$3:$A$313,A17,第7节!V$3:V$313)</f>
        <v/>
      </c>
      <c r="AB28" s="25">
        <f>SUMIF(第7节!$A$3:$A$313,A17,第7节!W$3:W$313)</f>
        <v/>
      </c>
      <c r="AC28" s="25">
        <f>SUMIF(第7节!$A$3:$A$313,A17,第7节!X$3:X$313)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61"/>
  <sheetViews>
    <sheetView workbookViewId="0">
      <selection activeCell="A1" sqref="A1"/>
    </sheetView>
  </sheetViews>
  <sheetFormatPr baseColWidth="8" defaultColWidth="9" defaultRowHeight="13.5"/>
  <cols>
    <col width="13" customWidth="1" style="29" min="1" max="2"/>
    <col width="13" customWidth="1" style="39" min="3" max="3"/>
    <col width="6.625" customWidth="1" style="39" min="4" max="5"/>
    <col width="6.625" customWidth="1" style="29" min="6" max="7"/>
    <col width="6.625" customWidth="1" style="39" min="8" max="8"/>
    <col width="6.625" customWidth="1" style="29" min="9" max="10"/>
    <col width="6.625" customWidth="1" style="39" min="11" max="11"/>
    <col width="6.625" customWidth="1" style="29" min="12" max="13"/>
    <col width="6.625" customWidth="1" style="39" min="14" max="14"/>
    <col width="6.625" customWidth="1" style="29" min="15" max="16"/>
    <col width="6.625" customWidth="1" style="39" min="17" max="17"/>
    <col width="6.625" customWidth="1" style="29" min="18" max="24"/>
    <col width="9" customWidth="1" style="29" min="25" max="16379"/>
    <col width="9" customWidth="1" style="29" min="16380" max="16384"/>
  </cols>
  <sheetData>
    <row r="1" ht="22" customHeight="1">
      <c r="A1" s="51" t="inlineStr">
        <is>
          <t>球员</t>
        </is>
      </c>
      <c r="B1" s="52" t="inlineStr">
        <is>
          <t>开始时间</t>
        </is>
      </c>
      <c r="C1" s="52" t="inlineStr">
        <is>
          <t>结束时间</t>
        </is>
      </c>
      <c r="D1" s="53" t="inlineStr">
        <is>
          <t>近投</t>
        </is>
      </c>
      <c r="E1" s="54" t="n"/>
      <c r="F1" s="54" t="n"/>
      <c r="G1" s="53" t="inlineStr">
        <is>
          <t>中投</t>
        </is>
      </c>
      <c r="H1" s="54" t="n"/>
      <c r="I1" s="54" t="n"/>
      <c r="J1" s="53" t="inlineStr">
        <is>
          <t>远投</t>
        </is>
      </c>
      <c r="K1" s="54" t="n"/>
      <c r="L1" s="54" t="n"/>
      <c r="M1" s="53" t="inlineStr">
        <is>
          <t>罚球</t>
        </is>
      </c>
      <c r="N1" s="54" t="n"/>
      <c r="O1" s="54" t="n"/>
      <c r="P1" s="53" t="inlineStr">
        <is>
          <t>总投</t>
        </is>
      </c>
      <c r="Q1" s="54" t="n"/>
      <c r="R1" s="54" t="n"/>
      <c r="S1" s="55" t="inlineStr">
        <is>
          <t>攻板</t>
        </is>
      </c>
      <c r="T1" s="55" t="inlineStr">
        <is>
          <t>防板</t>
        </is>
      </c>
      <c r="U1" s="55" t="inlineStr">
        <is>
          <t>总篮板</t>
        </is>
      </c>
      <c r="V1" s="55" t="inlineStr">
        <is>
          <t>助攻</t>
        </is>
      </c>
      <c r="W1" s="55" t="inlineStr">
        <is>
          <t>抢断</t>
        </is>
      </c>
      <c r="X1" s="55" t="inlineStr">
        <is>
          <t>盖帽</t>
        </is>
      </c>
    </row>
    <row r="2" ht="22" customFormat="1" customHeight="1" s="29">
      <c r="A2" s="56" t="n"/>
      <c r="B2" s="56" t="n"/>
      <c r="C2" s="56" t="n"/>
      <c r="D2" s="57" t="inlineStr">
        <is>
          <t>出手</t>
        </is>
      </c>
      <c r="E2" s="57" t="inlineStr">
        <is>
          <t>命中</t>
        </is>
      </c>
      <c r="F2" s="57" t="inlineStr">
        <is>
          <t>得分</t>
        </is>
      </c>
      <c r="G2" s="57" t="inlineStr">
        <is>
          <t>出手</t>
        </is>
      </c>
      <c r="H2" s="57" t="inlineStr">
        <is>
          <t>命中</t>
        </is>
      </c>
      <c r="I2" s="57" t="inlineStr">
        <is>
          <t>得分</t>
        </is>
      </c>
      <c r="J2" s="57" t="inlineStr">
        <is>
          <t>出手</t>
        </is>
      </c>
      <c r="K2" s="57" t="inlineStr">
        <is>
          <t>命中</t>
        </is>
      </c>
      <c r="L2" s="57" t="inlineStr">
        <is>
          <t>得分</t>
        </is>
      </c>
      <c r="M2" s="57" t="inlineStr">
        <is>
          <t>出手</t>
        </is>
      </c>
      <c r="N2" s="57" t="inlineStr">
        <is>
          <t>命中</t>
        </is>
      </c>
      <c r="O2" s="57" t="inlineStr">
        <is>
          <t>得分</t>
        </is>
      </c>
      <c r="P2" s="57" t="inlineStr">
        <is>
          <t>出手</t>
        </is>
      </c>
      <c r="Q2" s="57" t="inlineStr">
        <is>
          <t>命中</t>
        </is>
      </c>
      <c r="R2" s="57" t="inlineStr">
        <is>
          <t>得分</t>
        </is>
      </c>
      <c r="S2" s="58" t="n"/>
      <c r="T2" s="58" t="n"/>
      <c r="U2" s="58" t="n"/>
      <c r="V2" s="58" t="n"/>
      <c r="W2" s="58" t="n"/>
      <c r="X2" s="58" t="n"/>
    </row>
    <row r="3" ht="20" customFormat="1" customHeight="1" s="29">
      <c r="A3" s="34" t="n"/>
      <c r="B3" s="41" t="n"/>
      <c r="C3" s="41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</row>
    <row r="4" ht="20" customFormat="1" customHeight="1" s="29">
      <c r="A4" s="36" t="n"/>
      <c r="B4" s="41" t="n"/>
      <c r="C4" s="41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</row>
    <row r="5" ht="20" customFormat="1" customHeight="1" s="29">
      <c r="A5" s="36" t="n"/>
      <c r="B5" s="41" t="n"/>
      <c r="C5" s="41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</row>
    <row r="6" ht="20" customFormat="1" customHeight="1" s="29">
      <c r="A6" s="36" t="n"/>
      <c r="B6" s="41" t="n"/>
      <c r="C6" s="41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</row>
    <row r="7" ht="20" customFormat="1" customHeight="1" s="29">
      <c r="A7" s="36" t="n"/>
      <c r="B7" s="41" t="n"/>
      <c r="C7" s="41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</row>
    <row r="8" ht="20" customFormat="1" customHeight="1" s="29">
      <c r="A8" s="36" t="n"/>
      <c r="B8" s="41" t="n"/>
      <c r="C8" s="41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</row>
    <row r="9" ht="20" customFormat="1" customHeight="1" s="29">
      <c r="A9" s="36" t="n"/>
      <c r="B9" s="41" t="n"/>
      <c r="C9" s="41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</row>
    <row r="10" ht="20" customFormat="1" customHeight="1" s="29">
      <c r="A10" s="36" t="n"/>
      <c r="B10" s="41" t="n"/>
      <c r="C10" s="41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20" customFormat="1" customHeight="1" s="29">
      <c r="A11" s="36" t="n"/>
      <c r="B11" s="41" t="n"/>
      <c r="C11" s="41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</row>
    <row r="12" ht="20" customFormat="1" customHeight="1" s="29">
      <c r="A12" s="36" t="n"/>
      <c r="B12" s="41" t="n"/>
      <c r="C12" s="41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</row>
    <row r="13" ht="20" customFormat="1" customHeight="1" s="29">
      <c r="A13" s="36" t="n"/>
      <c r="B13" s="41" t="n"/>
      <c r="C13" s="41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</row>
    <row r="14" ht="20" customFormat="1" customHeight="1" s="29">
      <c r="A14" s="36" t="n"/>
      <c r="B14" s="41" t="n"/>
      <c r="C14" s="41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</row>
    <row r="15" ht="20" customFormat="1" customHeight="1" s="29">
      <c r="A15" s="36" t="n"/>
      <c r="B15" s="41" t="n"/>
      <c r="C15" s="41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</row>
    <row r="16" ht="20" customFormat="1" customHeight="1" s="29">
      <c r="A16" s="36" t="n"/>
      <c r="B16" s="41" t="n"/>
      <c r="C16" s="41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</row>
    <row r="17" ht="20" customFormat="1" customHeight="1" s="29">
      <c r="A17" s="36" t="n"/>
      <c r="B17" s="41" t="n"/>
      <c r="C17" s="41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20" customFormat="1" customHeight="1" s="29">
      <c r="A18" s="36" t="n"/>
      <c r="B18" s="41" t="n"/>
      <c r="C18" s="41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</row>
    <row r="19" ht="20" customFormat="1" customHeight="1" s="29">
      <c r="A19" s="36" t="n"/>
      <c r="B19" s="41" t="n"/>
      <c r="C19" s="41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</row>
    <row r="20" ht="20" customFormat="1" customHeight="1" s="29">
      <c r="A20" s="36" t="n"/>
      <c r="B20" s="41" t="n"/>
      <c r="C20" s="41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20" customFormat="1" customHeight="1" s="29">
      <c r="A21" s="36" t="n"/>
      <c r="B21" s="41" t="n"/>
      <c r="C21" s="41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20" customFormat="1" customHeight="1" s="29">
      <c r="A22" s="36" t="n"/>
      <c r="B22" s="41" t="n"/>
      <c r="C22" s="41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</row>
    <row r="23" ht="20" customFormat="1" customHeight="1" s="29">
      <c r="A23" s="36" t="n"/>
      <c r="B23" s="41" t="n"/>
      <c r="C23" s="41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</row>
    <row r="24" ht="20" customFormat="1" customHeight="1" s="29">
      <c r="A24" s="36" t="n"/>
      <c r="B24" s="41" t="n"/>
      <c r="C24" s="41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</row>
    <row r="25" ht="20" customFormat="1" customHeight="1" s="29">
      <c r="A25" s="36" t="n"/>
      <c r="B25" s="41" t="n"/>
      <c r="C25" s="41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</row>
    <row r="26" ht="20" customFormat="1" customHeight="1" s="29">
      <c r="A26" s="36" t="n"/>
      <c r="B26" s="41" t="n"/>
      <c r="C26" s="41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20" customFormat="1" customHeight="1" s="29">
      <c r="A27" s="36" t="n"/>
      <c r="B27" s="41" t="n"/>
      <c r="C27" s="41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.25" customFormat="1" customHeight="1" s="29">
      <c r="A28" s="36" t="n"/>
      <c r="B28" s="41" t="n"/>
      <c r="C28" s="41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</row>
    <row r="29" ht="17.25" customFormat="1" customHeight="1" s="29">
      <c r="A29" s="36" t="n"/>
      <c r="B29" s="41" t="n"/>
      <c r="C29" s="41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.25" customFormat="1" customHeight="1" s="29">
      <c r="A30" s="36" t="n"/>
      <c r="B30" s="41" t="n"/>
      <c r="C30" s="41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</row>
    <row r="31" ht="17.25" customFormat="1" customHeight="1" s="29">
      <c r="A31" s="36" t="n"/>
      <c r="B31" s="41" t="n"/>
      <c r="C31" s="41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</row>
    <row r="32" ht="17.25" customFormat="1" customHeight="1" s="29">
      <c r="A32" s="36" t="n"/>
      <c r="B32" s="41" t="n"/>
      <c r="C32" s="41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</row>
    <row r="33" ht="17.25" customFormat="1" customHeight="1" s="29">
      <c r="A33" s="36" t="n"/>
      <c r="B33" s="41" t="n"/>
      <c r="C33" s="41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.25" customFormat="1" customHeight="1" s="29">
      <c r="A34" s="36" t="n"/>
      <c r="B34" s="41" t="n"/>
      <c r="C34" s="41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</row>
    <row r="35" ht="17.25" customFormat="1" customHeight="1" s="29">
      <c r="A35" s="36" t="n"/>
      <c r="B35" s="41" t="n"/>
      <c r="C35" s="41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.25" customFormat="1" customHeight="1" s="29">
      <c r="A36" s="36" t="n"/>
      <c r="B36" s="41" t="n"/>
      <c r="C36" s="41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</row>
    <row r="37" ht="17.25" customFormat="1" customHeight="1" s="29">
      <c r="A37" s="36" t="n"/>
      <c r="B37" s="41" t="n"/>
      <c r="C37" s="41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.25" customFormat="1" customHeight="1" s="29">
      <c r="A38" s="36" t="n"/>
      <c r="B38" s="41" t="n"/>
      <c r="C38" s="41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.25" customFormat="1" customHeight="1" s="29">
      <c r="A39" s="36" t="n"/>
      <c r="B39" s="41" t="n"/>
      <c r="C39" s="41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</row>
    <row r="40" ht="17.25" customFormat="1" customHeight="1" s="29">
      <c r="A40" s="36" t="n"/>
      <c r="B40" s="41" t="n"/>
      <c r="C40" s="41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.25" customFormat="1" customHeight="1" s="29">
      <c r="A41" s="36" t="n"/>
      <c r="B41" s="41" t="n"/>
      <c r="C41" s="41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</row>
    <row r="42" ht="17.25" customFormat="1" customHeight="1" s="29">
      <c r="A42" s="36" t="n"/>
      <c r="B42" s="41" t="n"/>
      <c r="C42" s="41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</row>
    <row r="43" ht="17.25" customFormat="1" customHeight="1" s="29">
      <c r="A43" s="36" t="n"/>
      <c r="B43" s="41" t="n"/>
      <c r="C43" s="41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.25" customFormat="1" customHeight="1" s="29">
      <c r="A44" s="36" t="n"/>
      <c r="B44" s="41" t="n"/>
      <c r="C44" s="41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</row>
    <row r="45" ht="17.25" customFormat="1" customHeight="1" s="29">
      <c r="A45" s="36" t="n"/>
      <c r="B45" s="41" t="n"/>
      <c r="C45" s="41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</row>
    <row r="46" ht="17.25" customFormat="1" customHeight="1" s="29">
      <c r="A46" s="36" t="n"/>
      <c r="B46" s="41" t="n"/>
      <c r="C46" s="41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</row>
    <row r="47" ht="17.25" customFormat="1" customHeight="1" s="29">
      <c r="A47" s="36" t="n"/>
      <c r="B47" s="41" t="n"/>
      <c r="C47" s="41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</row>
    <row r="48" ht="17.25" customFormat="1" customHeight="1" s="29">
      <c r="A48" s="36" t="n"/>
      <c r="B48" s="41" t="n"/>
      <c r="C48" s="41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</row>
    <row r="49" ht="17.25" customFormat="1" customHeight="1" s="29">
      <c r="A49" s="36" t="n"/>
      <c r="B49" s="41" t="n"/>
      <c r="C49" s="41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.25" customFormat="1" customHeight="1" s="29">
      <c r="A50" s="36" t="n"/>
      <c r="B50" s="41" t="n"/>
      <c r="C50" s="41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</row>
    <row r="51" ht="17.25" customFormat="1" customHeight="1" s="29">
      <c r="A51" s="36" t="n"/>
      <c r="B51" s="41" t="n"/>
      <c r="C51" s="41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.25" customFormat="1" customHeight="1" s="29">
      <c r="A52" s="36" t="n"/>
      <c r="B52" s="41" t="n"/>
      <c r="C52" s="41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</row>
    <row r="53" ht="17.25" customFormat="1" customHeight="1" s="29">
      <c r="A53" s="36" t="n"/>
      <c r="B53" s="41" t="n"/>
      <c r="C53" s="41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</row>
    <row r="54" ht="17.25" customFormat="1" customHeight="1" s="29">
      <c r="A54" s="36" t="n"/>
      <c r="B54" s="41" t="n"/>
      <c r="C54" s="41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</row>
    <row r="55" ht="17.25" customFormat="1" customHeight="1" s="29">
      <c r="A55" s="36" t="n"/>
      <c r="B55" s="41" t="n"/>
      <c r="C55" s="41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.25" customFormat="1" customHeight="1" s="29">
      <c r="A56" s="36" t="n"/>
      <c r="B56" s="41" t="n"/>
      <c r="C56" s="41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</row>
    <row r="57" ht="17.25" customFormat="1" customHeight="1" s="29">
      <c r="A57" s="36" t="n"/>
      <c r="B57" s="41" t="n"/>
      <c r="C57" s="41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.25" customFormat="1" customHeight="1" s="29">
      <c r="A58" s="36" t="n"/>
      <c r="B58" s="41" t="n"/>
      <c r="C58" s="41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.25" customFormat="1" customHeight="1" s="29">
      <c r="A59" s="36" t="n"/>
      <c r="B59" s="41" t="n"/>
      <c r="C59" s="41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</row>
    <row r="60" ht="17.25" customFormat="1" customHeight="1" s="29">
      <c r="A60" s="36" t="n"/>
      <c r="B60" s="41" t="n"/>
      <c r="C60" s="41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</row>
    <row r="61" ht="17.25" customFormat="1" customHeight="1" s="29">
      <c r="A61" s="36" t="n"/>
      <c r="B61" s="41" t="n"/>
      <c r="C61" s="41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</row>
    <row r="62" ht="17.25" customFormat="1" customHeight="1" s="29">
      <c r="A62" s="36" t="n"/>
      <c r="B62" s="41" t="n"/>
      <c r="C62" s="41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</row>
    <row r="63" ht="17.25" customFormat="1" customHeight="1" s="29">
      <c r="A63" s="36" t="n"/>
      <c r="B63" s="41" t="n"/>
      <c r="C63" s="41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.25" customFormat="1" customHeight="1" s="29">
      <c r="A64" s="36" t="n"/>
      <c r="B64" s="41" t="n"/>
      <c r="C64" s="41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</row>
    <row r="65" ht="17.25" customFormat="1" customHeight="1" s="29">
      <c r="A65" s="36" t="n"/>
      <c r="B65" s="41" t="n"/>
      <c r="C65" s="41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</row>
    <row r="66" ht="17.25" customFormat="1" customHeight="1" s="29">
      <c r="A66" s="36" t="n"/>
      <c r="B66" s="41" t="n"/>
      <c r="C66" s="41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</row>
    <row r="67" ht="17.25" customFormat="1" customHeight="1" s="29">
      <c r="A67" s="36" t="n"/>
      <c r="B67" s="41" t="n"/>
      <c r="C67" s="41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</row>
    <row r="68" ht="17.25" customFormat="1" customHeight="1" s="29">
      <c r="A68" s="36" t="n"/>
      <c r="B68" s="41" t="n"/>
      <c r="C68" s="41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</row>
    <row r="69" ht="17.25" customFormat="1" customHeight="1" s="29">
      <c r="A69" s="36" t="n"/>
      <c r="B69" s="41" t="n"/>
      <c r="C69" s="41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.25" customFormat="1" customHeight="1" s="29">
      <c r="A70" s="36" t="n"/>
      <c r="B70" s="41" t="n"/>
      <c r="C70" s="41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</row>
    <row r="71" ht="17.25" customFormat="1" customHeight="1" s="29">
      <c r="A71" s="36" t="n"/>
      <c r="B71" s="41" t="n"/>
      <c r="C71" s="41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</row>
    <row r="72" ht="17.25" customFormat="1" customHeight="1" s="29">
      <c r="A72" s="36" t="n"/>
      <c r="B72" s="41" t="n"/>
      <c r="C72" s="41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</row>
    <row r="73" ht="17.25" customFormat="1" customHeight="1" s="29">
      <c r="A73" s="36" t="n"/>
      <c r="B73" s="41" t="n"/>
      <c r="C73" s="41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</row>
    <row r="74" ht="17.25" customFormat="1" customHeight="1" s="29">
      <c r="A74" s="36" t="n"/>
      <c r="B74" s="41" t="n"/>
      <c r="C74" s="41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</row>
    <row r="75" ht="17.25" customFormat="1" customHeight="1" s="29">
      <c r="A75" s="36" t="n"/>
      <c r="B75" s="41" t="n"/>
      <c r="C75" s="41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.25" customFormat="1" customHeight="1" s="29">
      <c r="A76" s="36" t="n"/>
      <c r="B76" s="41" t="n"/>
      <c r="C76" s="41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.25" customFormat="1" customHeight="1" s="29">
      <c r="A77" s="36" t="n"/>
      <c r="B77" s="41" t="n"/>
      <c r="C77" s="41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</row>
    <row r="78" ht="17.25" customFormat="1" customHeight="1" s="29">
      <c r="A78" s="36" t="n"/>
      <c r="B78" s="41" t="n"/>
      <c r="C78" s="41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.25" customFormat="1" customHeight="1" s="29">
      <c r="A79" s="36" t="n"/>
      <c r="B79" s="41" t="n"/>
      <c r="C79" s="41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</row>
    <row r="80" ht="17.25" customFormat="1" customHeight="1" s="29">
      <c r="A80" s="36" t="n"/>
      <c r="B80" s="41" t="n"/>
      <c r="C80" s="41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.25" customFormat="1" customHeight="1" s="29">
      <c r="A81" s="36" t="n"/>
      <c r="B81" s="41" t="n"/>
      <c r="C81" s="41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.25" customFormat="1" customHeight="1" s="29">
      <c r="A82" s="36" t="n"/>
      <c r="B82" s="41" t="n"/>
      <c r="C82" s="41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</row>
    <row r="83" ht="17.25" customFormat="1" customHeight="1" s="29">
      <c r="A83" s="36" t="n"/>
      <c r="B83" s="41" t="n"/>
      <c r="C83" s="41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.25" customFormat="1" customHeight="1" s="29">
      <c r="A84" s="36" t="n"/>
      <c r="B84" s="41" t="n"/>
      <c r="C84" s="41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.25" customFormat="1" customHeight="1" s="29">
      <c r="A85" s="36" t="n"/>
      <c r="B85" s="41" t="n"/>
      <c r="C85" s="41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</row>
    <row r="86" ht="17.25" customFormat="1" customHeight="1" s="29">
      <c r="A86" s="36" t="n"/>
      <c r="B86" s="41" t="n"/>
      <c r="C86" s="41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</row>
    <row r="87" ht="17.25" customFormat="1" customHeight="1" s="29">
      <c r="A87" s="36" t="n"/>
      <c r="B87" s="41" t="n"/>
      <c r="C87" s="41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</row>
    <row r="88" ht="17.25" customFormat="1" customHeight="1" s="29">
      <c r="A88" s="36" t="n"/>
      <c r="B88" s="41" t="n"/>
      <c r="C88" s="41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.25" customFormat="1" customHeight="1" s="29">
      <c r="A89" s="36" t="n"/>
      <c r="B89" s="41" t="n"/>
      <c r="C89" s="41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</row>
    <row r="90" ht="17.25" customFormat="1" customHeight="1" s="29">
      <c r="A90" s="36" t="n"/>
      <c r="B90" s="41" t="n"/>
      <c r="C90" s="41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.25" customFormat="1" customHeight="1" s="29">
      <c r="A91" s="36" t="n"/>
      <c r="B91" s="41" t="n"/>
      <c r="C91" s="41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.25" customFormat="1" customHeight="1" s="29">
      <c r="A92" s="36" t="n"/>
      <c r="B92" s="41" t="n"/>
      <c r="C92" s="41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</row>
    <row r="93" ht="17.25" customFormat="1" customHeight="1" s="29">
      <c r="A93" s="36" t="n"/>
      <c r="B93" s="41" t="n"/>
      <c r="C93" s="41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.25" customFormat="1" customHeight="1" s="29">
      <c r="A94" s="36" t="n"/>
      <c r="B94" s="41" t="n"/>
      <c r="C94" s="41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</row>
    <row r="95" ht="17.25" customFormat="1" customHeight="1" s="29">
      <c r="A95" s="36" t="n"/>
      <c r="B95" s="41" t="n"/>
      <c r="C95" s="41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.25" customFormat="1" customHeight="1" s="29">
      <c r="A96" s="36" t="n"/>
      <c r="B96" s="41" t="n"/>
      <c r="C96" s="41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</row>
    <row r="97" ht="17.25" customFormat="1" customHeight="1" s="29">
      <c r="A97" s="36" t="n"/>
      <c r="B97" s="41" t="n"/>
      <c r="C97" s="41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</row>
    <row r="98" ht="17.25" customFormat="1" customHeight="1" s="29">
      <c r="A98" s="36" t="n"/>
      <c r="B98" s="41" t="n"/>
      <c r="C98" s="41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.25" customFormat="1" customHeight="1" s="29">
      <c r="A99" s="36" t="n"/>
      <c r="B99" s="41" t="n"/>
      <c r="C99" s="41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.25" customFormat="1" customHeight="1" s="29">
      <c r="A100" s="36" t="n"/>
      <c r="B100" s="41" t="n"/>
      <c r="C100" s="41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.25" customFormat="1" customHeight="1" s="29">
      <c r="A101" s="36" t="n"/>
      <c r="B101" s="41" t="n"/>
      <c r="C101" s="41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</row>
    <row r="102" ht="17.25" customFormat="1" customHeight="1" s="29">
      <c r="A102" s="36" t="n"/>
      <c r="B102" s="41" t="n"/>
      <c r="C102" s="41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</row>
    <row r="103" ht="17.25" customFormat="1" customHeight="1" s="29">
      <c r="A103" s="36" t="n"/>
      <c r="B103" s="41" t="n"/>
      <c r="C103" s="41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.25" customFormat="1" customHeight="1" s="29">
      <c r="A104" s="36" t="n"/>
      <c r="B104" s="41" t="n"/>
      <c r="C104" s="41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</row>
    <row r="105" ht="17.25" customFormat="1" customHeight="1" s="29">
      <c r="A105" s="36" t="n"/>
      <c r="B105" s="41" t="n"/>
      <c r="C105" s="41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</row>
    <row r="106" ht="17.25" customFormat="1" customHeight="1" s="29">
      <c r="A106" s="36" t="n"/>
      <c r="B106" s="41" t="n"/>
      <c r="C106" s="41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.25" customFormat="1" customHeight="1" s="29">
      <c r="A107" s="36" t="n"/>
      <c r="B107" s="41" t="n"/>
      <c r="C107" s="41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</row>
    <row r="108" ht="17.25" customFormat="1" customHeight="1" s="29">
      <c r="A108" s="36" t="n"/>
      <c r="B108" s="41" t="n"/>
      <c r="C108" s="41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</row>
    <row r="109" ht="17.25" customFormat="1" customHeight="1" s="29">
      <c r="A109" s="36" t="n"/>
      <c r="B109" s="41" t="n"/>
      <c r="C109" s="41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</row>
    <row r="110" ht="17.25" customFormat="1" customHeight="1" s="29">
      <c r="A110" s="36" t="n"/>
      <c r="B110" s="41" t="n"/>
      <c r="C110" s="41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</row>
    <row r="111" ht="17.25" customFormat="1" customHeight="1" s="29">
      <c r="A111" s="36" t="n"/>
      <c r="B111" s="41" t="n"/>
      <c r="C111" s="41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</row>
    <row r="112" ht="17.25" customFormat="1" customHeight="1" s="29">
      <c r="A112" s="36" t="n"/>
      <c r="B112" s="41" t="n"/>
      <c r="C112" s="41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.25" customFormat="1" customHeight="1" s="29">
      <c r="A113" s="36" t="n"/>
      <c r="B113" s="41" t="n"/>
      <c r="C113" s="41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</row>
    <row r="114" ht="17.25" customFormat="1" customHeight="1" s="29">
      <c r="A114" s="36" t="n"/>
      <c r="B114" s="41" t="n"/>
      <c r="C114" s="41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</row>
    <row r="115" ht="17.25" customFormat="1" customHeight="1" s="29">
      <c r="A115" s="36" t="n"/>
      <c r="B115" s="41" t="n"/>
      <c r="C115" s="41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</row>
    <row r="116" ht="17.25" customFormat="1" customHeight="1" s="29">
      <c r="A116" s="36" t="n"/>
      <c r="B116" s="41" t="n"/>
      <c r="C116" s="41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</row>
    <row r="117" ht="17.25" customFormat="1" customHeight="1" s="29">
      <c r="A117" s="36" t="n"/>
      <c r="B117" s="41" t="n"/>
      <c r="C117" s="41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</row>
    <row r="118" ht="17.25" customFormat="1" customHeight="1" s="29">
      <c r="A118" s="36" t="n"/>
      <c r="B118" s="41" t="n"/>
      <c r="C118" s="41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</row>
    <row r="119" ht="17.25" customFormat="1" customHeight="1" s="29">
      <c r="A119" s="36" t="n"/>
      <c r="B119" s="41" t="n"/>
      <c r="C119" s="41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.25" customFormat="1" customHeight="1" s="29">
      <c r="A120" s="36" t="n"/>
      <c r="B120" s="41" t="n"/>
      <c r="C120" s="41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</row>
    <row r="121" ht="17.25" customFormat="1" customHeight="1" s="29">
      <c r="A121" s="36" t="n"/>
      <c r="B121" s="41" t="n"/>
      <c r="C121" s="41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</row>
    <row r="122" ht="17.25" customFormat="1" customHeight="1" s="29">
      <c r="A122" s="36" t="n"/>
      <c r="B122" s="41" t="n"/>
      <c r="C122" s="41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</row>
    <row r="123" ht="17.25" customFormat="1" customHeight="1" s="29">
      <c r="A123" s="36" t="n"/>
      <c r="B123" s="41" t="n"/>
      <c r="C123" s="41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</row>
    <row r="124" ht="17.25" customFormat="1" customHeight="1" s="29">
      <c r="A124" s="36" t="n"/>
      <c r="B124" s="41" t="n"/>
      <c r="C124" s="41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</row>
    <row r="125" ht="17.25" customFormat="1" customHeight="1" s="29">
      <c r="A125" s="36" t="n"/>
      <c r="B125" s="41" t="n"/>
      <c r="C125" s="41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</row>
    <row r="126" ht="17.25" customFormat="1" customHeight="1" s="29">
      <c r="A126" s="36" t="n"/>
      <c r="B126" s="41" t="n"/>
      <c r="C126" s="41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</row>
    <row r="127" ht="17.25" customFormat="1" customHeight="1" s="29">
      <c r="A127" s="36" t="n"/>
      <c r="B127" s="41" t="n"/>
      <c r="C127" s="41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</row>
    <row r="128" ht="17.25" customFormat="1" customHeight="1" s="29">
      <c r="A128" s="36" t="n"/>
      <c r="B128" s="41" t="n"/>
      <c r="C128" s="41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</row>
    <row r="129" ht="17.25" customFormat="1" customHeight="1" s="29">
      <c r="A129" s="36" t="n"/>
      <c r="B129" s="41" t="n"/>
      <c r="C129" s="41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</row>
    <row r="130" ht="17.25" customFormat="1" customHeight="1" s="29">
      <c r="A130" s="36" t="n"/>
      <c r="B130" s="41" t="n"/>
      <c r="C130" s="41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</row>
    <row r="131" ht="17.25" customFormat="1" customHeight="1" s="29">
      <c r="A131" s="36" t="n"/>
      <c r="B131" s="41" t="n"/>
      <c r="C131" s="41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</row>
    <row r="132" ht="17.25" customFormat="1" customHeight="1" s="29">
      <c r="A132" s="36" t="n"/>
      <c r="B132" s="41" t="n"/>
      <c r="C132" s="41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</row>
    <row r="133" ht="17.25" customFormat="1" customHeight="1" s="29">
      <c r="A133" s="36" t="n"/>
      <c r="B133" s="41" t="n"/>
      <c r="C133" s="41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</row>
    <row r="134" ht="17.25" customFormat="1" customHeight="1" s="29">
      <c r="A134" s="36" t="n"/>
      <c r="B134" s="41" t="n"/>
      <c r="C134" s="41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</row>
    <row r="135" ht="17.25" customFormat="1" customHeight="1" s="29">
      <c r="A135" s="36" t="n"/>
      <c r="B135" s="41" t="n"/>
      <c r="C135" s="41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</row>
    <row r="136" ht="17.25" customFormat="1" customHeight="1" s="29">
      <c r="A136" s="36" t="n"/>
      <c r="B136" s="41" t="n"/>
      <c r="C136" s="41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</row>
    <row r="137" ht="17.25" customFormat="1" customHeight="1" s="29">
      <c r="A137" s="36" t="n"/>
      <c r="B137" s="41" t="n"/>
      <c r="C137" s="41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</row>
    <row r="138" ht="17.25" customFormat="1" customHeight="1" s="29">
      <c r="A138" s="36" t="n"/>
      <c r="B138" s="41" t="n"/>
      <c r="C138" s="41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</row>
    <row r="139" ht="17.25" customFormat="1" customHeight="1" s="29">
      <c r="A139" s="36" t="n"/>
      <c r="B139" s="41" t="n"/>
      <c r="C139" s="41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</row>
    <row r="140" ht="17.25" customFormat="1" customHeight="1" s="29">
      <c r="A140" s="36" t="n"/>
      <c r="B140" s="41" t="n"/>
      <c r="C140" s="41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</row>
    <row r="141" ht="17.25" customFormat="1" customHeight="1" s="29">
      <c r="A141" s="36" t="n"/>
      <c r="B141" s="41" t="n"/>
      <c r="C141" s="41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</row>
    <row r="142" ht="17.25" customFormat="1" customHeight="1" s="29">
      <c r="A142" s="36" t="n"/>
      <c r="B142" s="41" t="n"/>
      <c r="C142" s="41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</row>
    <row r="143" ht="17.25" customFormat="1" customHeight="1" s="29">
      <c r="A143" s="36" t="n"/>
      <c r="B143" s="41" t="n"/>
      <c r="C143" s="41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</row>
    <row r="144" ht="17.25" customFormat="1" customHeight="1" s="29">
      <c r="A144" s="36" t="n"/>
      <c r="B144" s="41" t="n"/>
      <c r="C144" s="41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</row>
    <row r="145" ht="17.25" customFormat="1" customHeight="1" s="29">
      <c r="A145" s="36" t="n"/>
      <c r="B145" s="41" t="n"/>
      <c r="C145" s="41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</row>
    <row r="146" ht="17.25" customFormat="1" customHeight="1" s="29">
      <c r="A146" s="36" t="n"/>
      <c r="B146" s="41" t="n"/>
      <c r="C146" s="41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</row>
    <row r="147" ht="17.25" customFormat="1" customHeight="1" s="29">
      <c r="A147" s="36" t="n"/>
      <c r="B147" s="41" t="n"/>
      <c r="C147" s="41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</row>
    <row r="148" ht="17.25" customFormat="1" customHeight="1" s="29">
      <c r="A148" s="36" t="n"/>
      <c r="B148" s="41" t="n"/>
      <c r="C148" s="41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</row>
    <row r="149" ht="17.25" customFormat="1" customHeight="1" s="29">
      <c r="A149" s="36" t="n"/>
      <c r="B149" s="41" t="n"/>
      <c r="C149" s="41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</row>
    <row r="150" ht="17.25" customFormat="1" customHeight="1" s="29">
      <c r="A150" s="36" t="n"/>
      <c r="B150" s="41" t="n"/>
      <c r="C150" s="41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</row>
    <row r="151" ht="17.25" customFormat="1" customHeight="1" s="29">
      <c r="A151" s="36" t="n"/>
      <c r="B151" s="41" t="n"/>
      <c r="C151" s="41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</row>
    <row r="152" ht="17.25" customFormat="1" customHeight="1" s="29">
      <c r="A152" s="36" t="n"/>
      <c r="B152" s="41" t="n"/>
      <c r="C152" s="41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</row>
    <row r="153" ht="17.25" customFormat="1" customHeight="1" s="29">
      <c r="A153" s="36" t="n"/>
      <c r="B153" s="41" t="n"/>
      <c r="C153" s="41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</row>
    <row r="154" ht="17.25" customFormat="1" customHeight="1" s="29">
      <c r="A154" s="36" t="n"/>
      <c r="B154" s="41" t="n"/>
      <c r="C154" s="41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</row>
    <row r="155" ht="17.25" customFormat="1" customHeight="1" s="29">
      <c r="A155" s="36" t="n"/>
      <c r="B155" s="41" t="n"/>
      <c r="C155" s="41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</row>
    <row r="156" ht="17.25" customFormat="1" customHeight="1" s="29">
      <c r="A156" s="36" t="n"/>
      <c r="B156" s="41" t="n"/>
      <c r="C156" s="41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</row>
    <row r="157" ht="17.25" customFormat="1" customHeight="1" s="29">
      <c r="A157" s="36" t="n"/>
      <c r="B157" s="41" t="n"/>
      <c r="C157" s="41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</row>
    <row r="158" ht="17.25" customFormat="1" customHeight="1" s="29">
      <c r="A158" s="36" t="n"/>
      <c r="B158" s="41" t="n"/>
      <c r="C158" s="41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</row>
    <row r="159" ht="17.25" customFormat="1" customHeight="1" s="29">
      <c r="A159" s="36" t="n"/>
      <c r="B159" s="41" t="n"/>
      <c r="C159" s="41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</row>
    <row r="160" ht="17.25" customFormat="1" customHeight="1" s="29">
      <c r="A160" s="36" t="n"/>
      <c r="B160" s="41" t="n"/>
      <c r="C160" s="41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</row>
    <row r="161" ht="17.25" customFormat="1" customHeight="1" s="29">
      <c r="A161" s="36" t="n"/>
      <c r="B161" s="41" t="n"/>
      <c r="C161" s="41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</row>
    <row r="162" ht="17.25" customFormat="1" customHeight="1" s="29">
      <c r="A162" s="36" t="n"/>
      <c r="B162" s="41" t="n"/>
      <c r="C162" s="41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</row>
    <row r="163" ht="17.25" customFormat="1" customHeight="1" s="29">
      <c r="A163" s="36" t="n"/>
      <c r="B163" s="41" t="n"/>
      <c r="C163" s="41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</row>
    <row r="164" ht="17.25" customFormat="1" customHeight="1" s="29">
      <c r="A164" s="36" t="n"/>
      <c r="B164" s="41" t="n"/>
      <c r="C164" s="41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</row>
    <row r="165" ht="17.25" customFormat="1" customHeight="1" s="29">
      <c r="A165" s="36" t="n"/>
      <c r="B165" s="41" t="n"/>
      <c r="C165" s="41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</row>
    <row r="166" ht="17.25" customFormat="1" customHeight="1" s="29">
      <c r="A166" s="36" t="n"/>
      <c r="B166" s="41" t="n"/>
      <c r="C166" s="41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</row>
    <row r="167" ht="17.25" customFormat="1" customHeight="1" s="29">
      <c r="A167" s="36" t="n"/>
      <c r="B167" s="41" t="n"/>
      <c r="C167" s="41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</row>
    <row r="168" ht="17.25" customFormat="1" customHeight="1" s="29">
      <c r="A168" s="36" t="n"/>
      <c r="B168" s="41" t="n"/>
      <c r="C168" s="41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</row>
    <row r="169" ht="17.25" customFormat="1" customHeight="1" s="29">
      <c r="A169" s="36" t="n"/>
      <c r="B169" s="41" t="n"/>
      <c r="C169" s="41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</row>
    <row r="170" ht="17.25" customFormat="1" customHeight="1" s="29">
      <c r="A170" s="36" t="n"/>
      <c r="B170" s="41" t="n"/>
      <c r="C170" s="41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</row>
    <row r="171" ht="17.25" customFormat="1" customHeight="1" s="29">
      <c r="A171" s="36" t="n"/>
      <c r="B171" s="41" t="n"/>
      <c r="C171" s="41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</row>
    <row r="172" ht="17.25" customFormat="1" customHeight="1" s="29">
      <c r="A172" s="36" t="n"/>
      <c r="B172" s="41" t="n"/>
      <c r="C172" s="41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</row>
    <row r="173" ht="17.25" customFormat="1" customHeight="1" s="29">
      <c r="A173" s="36" t="n"/>
      <c r="B173" s="41" t="n"/>
      <c r="C173" s="41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</row>
    <row r="174" ht="17.25" customFormat="1" customHeight="1" s="29">
      <c r="A174" s="36" t="n"/>
      <c r="B174" s="41" t="n"/>
      <c r="C174" s="41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</row>
    <row r="175" ht="17.25" customFormat="1" customHeight="1" s="29">
      <c r="A175" s="36" t="n"/>
      <c r="B175" s="41" t="n"/>
      <c r="C175" s="41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</row>
    <row r="176" ht="17.25" customFormat="1" customHeight="1" s="29">
      <c r="A176" s="36" t="n"/>
      <c r="B176" s="41" t="n"/>
      <c r="C176" s="41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</row>
    <row r="177" ht="17.25" customFormat="1" customHeight="1" s="29">
      <c r="A177" s="36" t="n"/>
      <c r="B177" s="41" t="n"/>
      <c r="C177" s="41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</row>
    <row r="178" ht="17.25" customFormat="1" customHeight="1" s="29">
      <c r="A178" s="36" t="n"/>
      <c r="B178" s="41" t="n"/>
      <c r="C178" s="41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</row>
    <row r="179" ht="17.25" customFormat="1" customHeight="1" s="29">
      <c r="A179" s="36" t="n"/>
      <c r="B179" s="41" t="n"/>
      <c r="C179" s="41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</row>
    <row r="180" ht="17.25" customFormat="1" customHeight="1" s="29">
      <c r="A180" s="36" t="n"/>
      <c r="B180" s="41" t="n"/>
      <c r="C180" s="41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</row>
    <row r="181" ht="17.25" customFormat="1" customHeight="1" s="29">
      <c r="A181" s="36" t="n"/>
      <c r="B181" s="41" t="n"/>
      <c r="C181" s="41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</row>
    <row r="182" ht="17.25" customFormat="1" customHeight="1" s="29">
      <c r="A182" s="36" t="n"/>
      <c r="B182" s="41" t="n"/>
      <c r="C182" s="41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</row>
    <row r="183" ht="17.25" customFormat="1" customHeight="1" s="29">
      <c r="A183" s="36" t="n"/>
      <c r="B183" s="41" t="n"/>
      <c r="C183" s="41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</row>
    <row r="184" ht="17.25" customFormat="1" customHeight="1" s="29">
      <c r="A184" s="36" t="n"/>
      <c r="B184" s="41" t="n"/>
      <c r="C184" s="41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</row>
    <row r="185" ht="17.25" customFormat="1" customHeight="1" s="29">
      <c r="A185" s="36" t="n"/>
      <c r="B185" s="41" t="n"/>
      <c r="C185" s="41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</row>
    <row r="186" ht="17.25" customFormat="1" customHeight="1" s="29">
      <c r="A186" s="36" t="n"/>
      <c r="B186" s="41" t="n"/>
      <c r="C186" s="41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</row>
    <row r="187" ht="17.25" customFormat="1" customHeight="1" s="29">
      <c r="A187" s="36" t="n"/>
      <c r="B187" s="41" t="n"/>
      <c r="C187" s="41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</row>
    <row r="188" ht="17.25" customFormat="1" customHeight="1" s="29">
      <c r="A188" s="36" t="n"/>
      <c r="B188" s="41" t="n"/>
      <c r="C188" s="41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</row>
    <row r="189" ht="17.25" customFormat="1" customHeight="1" s="29">
      <c r="A189" s="36" t="n"/>
      <c r="B189" s="41" t="n"/>
      <c r="C189" s="41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</row>
    <row r="190" ht="17.25" customFormat="1" customHeight="1" s="29">
      <c r="A190" s="36" t="n"/>
      <c r="B190" s="41" t="n"/>
      <c r="C190" s="41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</row>
    <row r="191" ht="17.25" customFormat="1" customHeight="1" s="29">
      <c r="A191" s="36" t="n"/>
      <c r="B191" s="41" t="n"/>
      <c r="C191" s="41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</row>
    <row r="192" ht="17.25" customFormat="1" customHeight="1" s="29">
      <c r="A192" s="36" t="n"/>
      <c r="B192" s="41" t="n"/>
      <c r="C192" s="41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</row>
    <row r="193" ht="17.25" customFormat="1" customHeight="1" s="29">
      <c r="A193" s="36" t="n"/>
      <c r="B193" s="41" t="n"/>
      <c r="C193" s="41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</row>
    <row r="194" ht="17.25" customFormat="1" customHeight="1" s="29">
      <c r="A194" s="36" t="n"/>
      <c r="B194" s="41" t="n"/>
      <c r="C194" s="41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</row>
    <row r="195" ht="17.25" customFormat="1" customHeight="1" s="29">
      <c r="A195" s="36" t="n"/>
      <c r="B195" s="41" t="n"/>
      <c r="C195" s="41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</row>
    <row r="196" ht="17.25" customFormat="1" customHeight="1" s="29">
      <c r="A196" s="36" t="n"/>
      <c r="B196" s="41" t="n"/>
      <c r="C196" s="41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</row>
    <row r="197" ht="17.25" customFormat="1" customHeight="1" s="29">
      <c r="A197" s="36" t="n"/>
      <c r="B197" s="41" t="n"/>
      <c r="C197" s="41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</row>
    <row r="198" ht="17.25" customFormat="1" customHeight="1" s="29">
      <c r="A198" s="36" t="n"/>
      <c r="B198" s="41" t="n"/>
      <c r="C198" s="41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</row>
    <row r="199" ht="17.25" customFormat="1" customHeight="1" s="29">
      <c r="A199" s="36" t="n"/>
      <c r="B199" s="41" t="n"/>
      <c r="C199" s="41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</row>
    <row r="200" ht="17.25" customFormat="1" customHeight="1" s="29">
      <c r="A200" s="36" t="n"/>
      <c r="B200" s="41" t="n"/>
      <c r="C200" s="41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</row>
    <row r="201" ht="17.25" customFormat="1" customHeight="1" s="29">
      <c r="A201" s="36" t="n"/>
      <c r="B201" s="41" t="n"/>
      <c r="C201" s="41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</row>
    <row r="202" ht="17.25" customFormat="1" customHeight="1" s="29">
      <c r="A202" s="36" t="n"/>
      <c r="B202" s="41" t="n"/>
      <c r="C202" s="41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</row>
    <row r="203" ht="17.25" customFormat="1" customHeight="1" s="29">
      <c r="A203" s="36" t="n"/>
      <c r="B203" s="41" t="n"/>
      <c r="C203" s="41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</row>
    <row r="204" ht="17.25" customFormat="1" customHeight="1" s="29">
      <c r="A204" s="36" t="n"/>
      <c r="B204" s="41" t="n"/>
      <c r="C204" s="41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</row>
    <row r="205" ht="17.25" customFormat="1" customHeight="1" s="29">
      <c r="A205" s="36" t="n"/>
      <c r="B205" s="41" t="n"/>
      <c r="C205" s="41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</row>
    <row r="206" ht="17.25" customFormat="1" customHeight="1" s="29">
      <c r="A206" s="36" t="n"/>
      <c r="B206" s="41" t="n"/>
      <c r="C206" s="41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</row>
    <row r="207" ht="17.25" customFormat="1" customHeight="1" s="29">
      <c r="A207" s="36" t="n"/>
      <c r="B207" s="41" t="n"/>
      <c r="C207" s="41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</row>
    <row r="208" ht="17.25" customFormat="1" customHeight="1" s="29">
      <c r="A208" s="36" t="n"/>
      <c r="B208" s="41" t="n"/>
      <c r="C208" s="41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</row>
    <row r="209" ht="17.25" customFormat="1" customHeight="1" s="29">
      <c r="A209" s="36" t="n"/>
      <c r="B209" s="41" t="n"/>
      <c r="C209" s="41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</row>
    <row r="210" ht="17.25" customFormat="1" customHeight="1" s="29">
      <c r="A210" s="36" t="n"/>
      <c r="B210" s="41" t="n"/>
      <c r="C210" s="41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</row>
    <row r="211" ht="17.25" customFormat="1" customHeight="1" s="29">
      <c r="A211" s="36" t="n"/>
      <c r="B211" s="41" t="n"/>
      <c r="C211" s="41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</row>
    <row r="212" ht="17.25" customFormat="1" customHeight="1" s="29">
      <c r="A212" s="36" t="n"/>
      <c r="B212" s="41" t="n"/>
      <c r="C212" s="41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</row>
    <row r="213" ht="17.25" customFormat="1" customHeight="1" s="29">
      <c r="A213" s="36" t="n"/>
      <c r="B213" s="41" t="n"/>
      <c r="C213" s="41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</row>
    <row r="214" ht="17.25" customFormat="1" customHeight="1" s="29">
      <c r="A214" s="36" t="n"/>
      <c r="B214" s="41" t="n"/>
      <c r="C214" s="41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</row>
    <row r="215" ht="17.25" customFormat="1" customHeight="1" s="29">
      <c r="A215" s="36" t="n"/>
      <c r="B215" s="41" t="n"/>
      <c r="C215" s="41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</row>
    <row r="216" ht="17.25" customFormat="1" customHeight="1" s="29">
      <c r="A216" s="36" t="n"/>
      <c r="B216" s="41" t="n"/>
      <c r="C216" s="41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</row>
    <row r="217" ht="17.25" customFormat="1" customHeight="1" s="29">
      <c r="A217" s="36" t="n"/>
      <c r="B217" s="41" t="n"/>
      <c r="C217" s="41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</row>
    <row r="218" ht="17.25" customFormat="1" customHeight="1" s="29">
      <c r="A218" s="36" t="n"/>
      <c r="B218" s="41" t="n"/>
      <c r="C218" s="41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</row>
    <row r="219" ht="17.25" customFormat="1" customHeight="1" s="29">
      <c r="A219" s="36" t="n"/>
      <c r="B219" s="41" t="n"/>
      <c r="C219" s="41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</row>
    <row r="220" ht="17.25" customFormat="1" customHeight="1" s="29">
      <c r="A220" s="36" t="n"/>
      <c r="B220" s="41" t="n"/>
      <c r="C220" s="41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</row>
    <row r="221" ht="17.25" customFormat="1" customHeight="1" s="29">
      <c r="A221" s="36" t="n"/>
      <c r="B221" s="41" t="n"/>
      <c r="C221" s="41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</row>
    <row r="222" ht="17.25" customFormat="1" customHeight="1" s="29">
      <c r="A222" s="36" t="n"/>
      <c r="B222" s="41" t="n"/>
      <c r="C222" s="41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</row>
    <row r="223" ht="17.25" customFormat="1" customHeight="1" s="29">
      <c r="A223" s="36" t="n"/>
      <c r="B223" s="41" t="n"/>
      <c r="C223" s="41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</row>
    <row r="224" ht="17.25" customFormat="1" customHeight="1" s="29">
      <c r="A224" s="36" t="n"/>
      <c r="B224" s="41" t="n"/>
      <c r="C224" s="41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</row>
    <row r="225" ht="17.25" customFormat="1" customHeight="1" s="29">
      <c r="A225" s="36" t="n"/>
      <c r="B225" s="41" t="n"/>
      <c r="C225" s="41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</row>
    <row r="226" ht="17.25" customFormat="1" customHeight="1" s="29">
      <c r="A226" s="36" t="n"/>
      <c r="B226" s="41" t="n"/>
      <c r="C226" s="41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</row>
    <row r="227" ht="17.25" customFormat="1" customHeight="1" s="29">
      <c r="A227" s="36" t="n"/>
      <c r="B227" s="41" t="n"/>
      <c r="C227" s="41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</row>
    <row r="228" ht="17.25" customFormat="1" customHeight="1" s="29">
      <c r="A228" s="36" t="n"/>
      <c r="B228" s="41" t="n"/>
      <c r="C228" s="41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</row>
    <row r="229" ht="17.25" customFormat="1" customHeight="1" s="29">
      <c r="A229" s="36" t="n"/>
      <c r="B229" s="41" t="n"/>
      <c r="C229" s="41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</row>
    <row r="230" ht="17.25" customFormat="1" customHeight="1" s="29">
      <c r="A230" s="36" t="n"/>
      <c r="B230" s="41" t="n"/>
      <c r="C230" s="41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</row>
    <row r="231" ht="17.25" customFormat="1" customHeight="1" s="29">
      <c r="A231" s="36" t="n"/>
      <c r="B231" s="41" t="n"/>
      <c r="C231" s="41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</row>
    <row r="232" ht="17.25" customFormat="1" customHeight="1" s="29">
      <c r="A232" s="36" t="n"/>
      <c r="B232" s="41" t="n"/>
      <c r="C232" s="41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</row>
    <row r="233" ht="17.25" customFormat="1" customHeight="1" s="29">
      <c r="A233" s="36" t="n"/>
      <c r="B233" s="41" t="n"/>
      <c r="C233" s="41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</row>
    <row r="234" ht="17.25" customFormat="1" customHeight="1" s="29">
      <c r="A234" s="36" t="n"/>
      <c r="B234" s="41" t="n"/>
      <c r="C234" s="41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</row>
    <row r="235" ht="17.25" customFormat="1" customHeight="1" s="29">
      <c r="A235" s="36" t="n"/>
      <c r="B235" s="41" t="n"/>
      <c r="C235" s="41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</row>
    <row r="236" ht="17.25" customFormat="1" customHeight="1" s="29">
      <c r="A236" s="36" t="n"/>
      <c r="B236" s="41" t="n"/>
      <c r="C236" s="41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</row>
    <row r="237" ht="17.25" customFormat="1" customHeight="1" s="29">
      <c r="A237" s="36" t="n"/>
      <c r="B237" s="41" t="n"/>
      <c r="C237" s="41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</row>
    <row r="238" ht="17.25" customFormat="1" customHeight="1" s="29">
      <c r="A238" s="36" t="n"/>
      <c r="B238" s="41" t="n"/>
      <c r="C238" s="41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</row>
    <row r="239" ht="17.25" customFormat="1" customHeight="1" s="29">
      <c r="A239" s="36" t="n"/>
      <c r="B239" s="41" t="n"/>
      <c r="C239" s="41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</row>
    <row r="240" ht="17.25" customFormat="1" customHeight="1" s="29">
      <c r="A240" s="36" t="n"/>
      <c r="B240" s="41" t="n"/>
      <c r="C240" s="41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</row>
    <row r="241" ht="17.25" customFormat="1" customHeight="1" s="29">
      <c r="A241" s="36" t="n"/>
      <c r="B241" s="41" t="n"/>
      <c r="C241" s="41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</row>
    <row r="242" ht="17.25" customFormat="1" customHeight="1" s="29">
      <c r="A242" s="36" t="n"/>
      <c r="B242" s="41" t="n"/>
      <c r="C242" s="41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</row>
    <row r="243" ht="17.25" customFormat="1" customHeight="1" s="29">
      <c r="A243" s="36" t="n"/>
      <c r="B243" s="41" t="n"/>
      <c r="C243" s="41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</row>
    <row r="244" ht="17.25" customFormat="1" customHeight="1" s="29">
      <c r="A244" s="36" t="n"/>
      <c r="B244" s="41" t="n"/>
      <c r="C244" s="41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</row>
    <row r="245" ht="17.25" customFormat="1" customHeight="1" s="29">
      <c r="A245" s="36" t="n"/>
      <c r="B245" s="41" t="n"/>
      <c r="C245" s="41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</row>
    <row r="246" ht="17.25" customFormat="1" customHeight="1" s="29">
      <c r="A246" s="36" t="n"/>
      <c r="B246" s="41" t="n"/>
      <c r="C246" s="41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</row>
    <row r="247" ht="17.25" customFormat="1" customHeight="1" s="29">
      <c r="A247" s="36" t="n"/>
      <c r="B247" s="41" t="n"/>
      <c r="C247" s="41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</row>
    <row r="248" ht="17.25" customFormat="1" customHeight="1" s="29">
      <c r="A248" s="36" t="n"/>
      <c r="B248" s="41" t="n"/>
      <c r="C248" s="41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</row>
    <row r="249" ht="17.25" customFormat="1" customHeight="1" s="29">
      <c r="A249" s="36" t="n"/>
      <c r="B249" s="41" t="n"/>
      <c r="C249" s="41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</row>
    <row r="250" ht="17.25" customFormat="1" customHeight="1" s="29">
      <c r="A250" s="36" t="n"/>
      <c r="B250" s="41" t="n"/>
      <c r="C250" s="41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</row>
    <row r="251" ht="17.25" customFormat="1" customHeight="1" s="29">
      <c r="A251" s="36" t="n"/>
      <c r="B251" s="41" t="n"/>
      <c r="C251" s="41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</row>
    <row r="252" ht="17.25" customFormat="1" customHeight="1" s="29">
      <c r="A252" s="36" t="n"/>
      <c r="B252" s="41" t="n"/>
      <c r="C252" s="41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</row>
    <row r="253" ht="17.25" customFormat="1" customHeight="1" s="29">
      <c r="A253" s="36" t="n"/>
      <c r="B253" s="41" t="n"/>
      <c r="C253" s="41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</row>
    <row r="254" ht="17.25" customFormat="1" customHeight="1" s="29">
      <c r="A254" s="36" t="n"/>
      <c r="B254" s="41" t="n"/>
      <c r="C254" s="41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</row>
    <row r="255" ht="17.25" customFormat="1" customHeight="1" s="29">
      <c r="A255" s="36" t="n"/>
      <c r="B255" s="41" t="n"/>
      <c r="C255" s="41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</row>
    <row r="256" ht="17.25" customFormat="1" customHeight="1" s="29">
      <c r="A256" s="36" t="n"/>
      <c r="B256" s="41" t="n"/>
      <c r="C256" s="41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</row>
    <row r="257" ht="17.25" customFormat="1" customHeight="1" s="29">
      <c r="A257" s="36" t="n"/>
      <c r="B257" s="41" t="n"/>
      <c r="C257" s="41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</row>
    <row r="258" ht="17.25" customFormat="1" customHeight="1" s="29">
      <c r="A258" s="36" t="n"/>
      <c r="B258" s="41" t="n"/>
      <c r="C258" s="41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</row>
    <row r="259" ht="17.25" customFormat="1" customHeight="1" s="29">
      <c r="A259" s="36" t="n"/>
      <c r="B259" s="41" t="n"/>
      <c r="C259" s="41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</row>
    <row r="260" ht="17.25" customFormat="1" customHeight="1" s="29">
      <c r="A260" s="36" t="n"/>
      <c r="B260" s="41" t="n"/>
      <c r="C260" s="41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</row>
    <row r="261" ht="17.25" customFormat="1" customHeight="1" s="29">
      <c r="A261" s="36" t="n"/>
      <c r="B261" s="41" t="n"/>
      <c r="C261" s="41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</row>
    <row r="262" ht="17.25" customFormat="1" customHeight="1" s="29">
      <c r="A262" s="36" t="n"/>
      <c r="B262" s="41" t="n"/>
      <c r="C262" s="41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</row>
    <row r="263" ht="17.25" customFormat="1" customHeight="1" s="29">
      <c r="A263" s="36" t="n"/>
      <c r="B263" s="41" t="n"/>
      <c r="C263" s="41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</row>
    <row r="264" ht="17.25" customFormat="1" customHeight="1" s="29">
      <c r="A264" s="36" t="n"/>
      <c r="B264" s="41" t="n"/>
      <c r="C264" s="41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</row>
    <row r="265" ht="17.25" customFormat="1" customHeight="1" s="29">
      <c r="A265" s="36" t="n"/>
      <c r="B265" s="41" t="n"/>
      <c r="C265" s="41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</row>
    <row r="266" ht="17.25" customFormat="1" customHeight="1" s="29">
      <c r="A266" s="36" t="n"/>
      <c r="B266" s="41" t="n"/>
      <c r="C266" s="41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</row>
    <row r="267" ht="17.25" customFormat="1" customHeight="1" s="29">
      <c r="A267" s="36" t="n"/>
      <c r="B267" s="41" t="n"/>
      <c r="C267" s="41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</row>
    <row r="268" ht="17.25" customFormat="1" customHeight="1" s="29">
      <c r="A268" s="36" t="n"/>
      <c r="B268" s="41" t="n"/>
      <c r="C268" s="41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</row>
    <row r="269" ht="17.25" customFormat="1" customHeight="1" s="29">
      <c r="A269" s="36" t="n"/>
      <c r="B269" s="41" t="n"/>
      <c r="C269" s="41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</row>
    <row r="270" ht="17.25" customFormat="1" customHeight="1" s="29">
      <c r="A270" s="36" t="n"/>
      <c r="B270" s="41" t="n"/>
      <c r="C270" s="41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</row>
    <row r="271" ht="17.25" customFormat="1" customHeight="1" s="29">
      <c r="A271" s="36" t="n"/>
      <c r="B271" s="41" t="n"/>
      <c r="C271" s="41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</row>
    <row r="272" ht="17.25" customFormat="1" customHeight="1" s="29">
      <c r="A272" s="36" t="n"/>
      <c r="B272" s="41" t="n"/>
      <c r="C272" s="41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</row>
    <row r="273" ht="17.25" customFormat="1" customHeight="1" s="29">
      <c r="A273" s="36" t="n"/>
      <c r="B273" s="41" t="n"/>
      <c r="C273" s="41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</row>
    <row r="274" ht="17.25" customFormat="1" customHeight="1" s="29">
      <c r="A274" s="36" t="n"/>
      <c r="B274" s="41" t="n"/>
      <c r="C274" s="41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</row>
    <row r="275" ht="17.25" customFormat="1" customHeight="1" s="29">
      <c r="A275" s="36" t="n"/>
      <c r="B275" s="41" t="n"/>
      <c r="C275" s="41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</row>
    <row r="276" ht="17.25" customFormat="1" customHeight="1" s="29">
      <c r="A276" s="36" t="n"/>
      <c r="B276" s="41" t="n"/>
      <c r="C276" s="41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</row>
    <row r="277" ht="17.25" customFormat="1" customHeight="1" s="29">
      <c r="A277" s="36" t="n"/>
      <c r="B277" s="41" t="n"/>
      <c r="C277" s="41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</row>
    <row r="278" ht="17.25" customFormat="1" customHeight="1" s="29">
      <c r="A278" s="36" t="n"/>
      <c r="B278" s="41" t="n"/>
      <c r="C278" s="41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</row>
    <row r="279" ht="17.25" customFormat="1" customHeight="1" s="29">
      <c r="A279" s="36" t="n"/>
      <c r="B279" s="41" t="n"/>
      <c r="C279" s="41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</row>
    <row r="280" ht="17.25" customFormat="1" customHeight="1" s="29">
      <c r="A280" s="36" t="n"/>
      <c r="B280" s="41" t="n"/>
      <c r="C280" s="41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</row>
    <row r="281" ht="17.25" customFormat="1" customHeight="1" s="29">
      <c r="A281" s="36" t="n"/>
      <c r="B281" s="41" t="n"/>
      <c r="C281" s="41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</row>
    <row r="282" ht="17.25" customFormat="1" customHeight="1" s="29">
      <c r="A282" s="36" t="n"/>
      <c r="B282" s="41" t="n"/>
      <c r="C282" s="41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</row>
    <row r="283" ht="17.25" customFormat="1" customHeight="1" s="29">
      <c r="A283" s="36" t="n"/>
      <c r="B283" s="41" t="n"/>
      <c r="C283" s="41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</row>
    <row r="284" ht="17.25" customFormat="1" customHeight="1" s="29">
      <c r="A284" s="36" t="n"/>
      <c r="B284" s="41" t="n"/>
      <c r="C284" s="41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</row>
    <row r="285" ht="17.25" customFormat="1" customHeight="1" s="29">
      <c r="A285" s="36" t="n"/>
      <c r="B285" s="41" t="n"/>
      <c r="C285" s="41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</row>
    <row r="286" ht="17.25" customFormat="1" customHeight="1" s="29">
      <c r="A286" s="36" t="n"/>
      <c r="B286" s="41" t="n"/>
      <c r="C286" s="41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</row>
    <row r="287" ht="17.25" customFormat="1" customHeight="1" s="29">
      <c r="A287" s="36" t="n"/>
      <c r="B287" s="41" t="n"/>
      <c r="C287" s="41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</row>
    <row r="288" ht="17.25" customFormat="1" customHeight="1" s="29">
      <c r="A288" s="36" t="n"/>
      <c r="B288" s="41" t="n"/>
      <c r="C288" s="41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</row>
    <row r="289" ht="17.25" customFormat="1" customHeight="1" s="29">
      <c r="A289" s="36" t="n"/>
      <c r="B289" s="41" t="n"/>
      <c r="C289" s="41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</row>
    <row r="290" ht="17.25" customFormat="1" customHeight="1" s="29">
      <c r="A290" s="36" t="n"/>
      <c r="B290" s="41" t="n"/>
      <c r="C290" s="41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</row>
    <row r="291" ht="17.25" customFormat="1" customHeight="1" s="29">
      <c r="A291" s="36" t="n"/>
      <c r="B291" s="41" t="n"/>
      <c r="C291" s="41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</row>
    <row r="292" ht="17.25" customFormat="1" customHeight="1" s="29">
      <c r="A292" s="36" t="n"/>
      <c r="B292" s="41" t="n"/>
      <c r="C292" s="41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</row>
    <row r="293" ht="17.25" customFormat="1" customHeight="1" s="29">
      <c r="A293" s="36" t="n"/>
      <c r="B293" s="41" t="n"/>
      <c r="C293" s="41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</row>
    <row r="294" ht="17.25" customFormat="1" customHeight="1" s="29">
      <c r="A294" s="36" t="n"/>
      <c r="B294" s="41" t="n"/>
      <c r="C294" s="41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</row>
    <row r="295" ht="17.25" customFormat="1" customHeight="1" s="29">
      <c r="A295" s="36" t="n"/>
      <c r="B295" s="41" t="n"/>
      <c r="C295" s="41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</row>
    <row r="296" ht="17.25" customFormat="1" customHeight="1" s="29">
      <c r="A296" s="36" t="n"/>
      <c r="B296" s="41" t="n"/>
      <c r="C296" s="41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</row>
    <row r="297" ht="17.25" customFormat="1" customHeight="1" s="29">
      <c r="A297" s="36" t="n"/>
      <c r="B297" s="41" t="n"/>
      <c r="C297" s="41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</row>
    <row r="298" ht="17.25" customFormat="1" customHeight="1" s="29">
      <c r="A298" s="36" t="n"/>
      <c r="B298" s="41" t="n"/>
      <c r="C298" s="41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</row>
    <row r="299" ht="17.25" customFormat="1" customHeight="1" s="29">
      <c r="A299" s="36" t="n"/>
      <c r="B299" s="41" t="n"/>
      <c r="C299" s="41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</row>
    <row r="300" ht="17.25" customFormat="1" customHeight="1" s="29">
      <c r="A300" s="36" t="n"/>
      <c r="B300" s="41" t="n"/>
      <c r="C300" s="41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</row>
    <row r="301" ht="17.25" customFormat="1" customHeight="1" s="29">
      <c r="A301" s="36" t="n"/>
      <c r="B301" s="41" t="n"/>
      <c r="C301" s="41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</row>
    <row r="302" ht="17.25" customFormat="1" customHeight="1" s="29">
      <c r="A302" s="36" t="n"/>
      <c r="B302" s="41" t="n"/>
      <c r="C302" s="41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</row>
    <row r="303" ht="17.25" customFormat="1" customHeight="1" s="29">
      <c r="A303" s="36" t="n"/>
      <c r="B303" s="41" t="n"/>
      <c r="C303" s="41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</row>
    <row r="304" ht="17.25" customFormat="1" customHeight="1" s="29">
      <c r="A304" s="36" t="n"/>
      <c r="B304" s="41" t="n"/>
      <c r="C304" s="41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</row>
    <row r="305" ht="17.25" customFormat="1" customHeight="1" s="29">
      <c r="A305" s="36" t="n"/>
      <c r="B305" s="41" t="n"/>
      <c r="C305" s="41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</row>
    <row r="306" ht="17.25" customFormat="1" customHeight="1" s="29">
      <c r="A306" s="36" t="n"/>
      <c r="B306" s="41" t="n"/>
      <c r="C306" s="41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</row>
    <row r="307" ht="17.25" customFormat="1" customHeight="1" s="29">
      <c r="A307" s="36" t="n"/>
      <c r="B307" s="41" t="n"/>
      <c r="C307" s="41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</row>
    <row r="308" ht="17.25" customFormat="1" customHeight="1" s="29">
      <c r="A308" s="36" t="n"/>
      <c r="B308" s="41" t="n"/>
      <c r="C308" s="41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</row>
    <row r="309" ht="17.25" customFormat="1" customHeight="1" s="29">
      <c r="A309" s="36" t="n"/>
      <c r="B309" s="41" t="n"/>
      <c r="C309" s="41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</row>
    <row r="310" ht="17.25" customFormat="1" customHeight="1" s="29">
      <c r="A310" s="36" t="n"/>
      <c r="B310" s="41" t="n"/>
      <c r="C310" s="41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</row>
    <row r="311" ht="17.25" customFormat="1" customHeight="1" s="29">
      <c r="A311" s="36" t="n"/>
      <c r="B311" s="41" t="n"/>
      <c r="C311" s="41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</row>
    <row r="312" ht="17.25" customFormat="1" customHeight="1" s="29">
      <c r="A312" s="36" t="n"/>
      <c r="B312" s="41" t="n"/>
      <c r="C312" s="41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</row>
    <row r="313" ht="17.25" customFormat="1" customHeight="1" s="29">
      <c r="A313" s="36" t="n"/>
      <c r="B313" s="41" t="n"/>
      <c r="C313" s="41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</row>
    <row r="314" ht="17.25" customFormat="1" customHeight="1" s="29">
      <c r="A314" s="36" t="n"/>
      <c r="B314" s="41" t="n"/>
      <c r="C314" s="41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</row>
    <row r="315" ht="17.25" customFormat="1" customHeight="1" s="29">
      <c r="A315" s="36" t="n"/>
      <c r="B315" s="41" t="n"/>
      <c r="C315" s="41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</row>
    <row r="316" ht="17.25" customFormat="1" customHeight="1" s="29">
      <c r="A316" s="36" t="n"/>
      <c r="B316" s="41" t="n"/>
      <c r="C316" s="41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</row>
    <row r="317" ht="17.25" customFormat="1" customHeight="1" s="29">
      <c r="A317" s="36" t="n"/>
      <c r="B317" s="41" t="n"/>
      <c r="C317" s="41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</row>
    <row r="318" ht="17.25" customFormat="1" customHeight="1" s="29">
      <c r="A318" s="36" t="n"/>
      <c r="B318" s="41" t="n"/>
      <c r="C318" s="41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</row>
    <row r="319" ht="17.25" customFormat="1" customHeight="1" s="29">
      <c r="A319" s="36" t="n"/>
      <c r="B319" s="41" t="n"/>
      <c r="C319" s="41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</row>
    <row r="320" ht="17.25" customFormat="1" customHeight="1" s="29">
      <c r="A320" s="36" t="n"/>
      <c r="B320" s="41" t="n"/>
      <c r="C320" s="41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</row>
    <row r="321" ht="17.25" customFormat="1" customHeight="1" s="29">
      <c r="A321" s="36" t="n"/>
      <c r="B321" s="41" t="n"/>
      <c r="C321" s="41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</row>
    <row r="322" ht="17.25" customFormat="1" customHeight="1" s="29">
      <c r="A322" s="36" t="n"/>
      <c r="B322" s="41" t="n"/>
      <c r="C322" s="41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</row>
    <row r="323" ht="17.25" customFormat="1" customHeight="1" s="29">
      <c r="A323" s="36" t="n"/>
      <c r="B323" s="41" t="n"/>
      <c r="C323" s="41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</row>
    <row r="324" ht="17.25" customFormat="1" customHeight="1" s="29">
      <c r="B324" s="42" t="n"/>
      <c r="C324" s="42" t="n"/>
      <c r="D324" s="39" t="n"/>
      <c r="E324" s="39" t="n"/>
      <c r="H324" s="39" t="n"/>
      <c r="K324" s="39" t="n"/>
      <c r="N324" s="39" t="n"/>
      <c r="Q324" s="39" t="n"/>
    </row>
    <row r="325" ht="17.25" customFormat="1" customHeight="1" s="29">
      <c r="B325" s="42" t="n"/>
      <c r="C325" s="42" t="n"/>
      <c r="D325" s="39" t="n"/>
      <c r="E325" s="39" t="n"/>
      <c r="H325" s="39" t="n"/>
      <c r="K325" s="39" t="n"/>
      <c r="N325" s="39" t="n"/>
      <c r="Q325" s="39" t="n"/>
    </row>
    <row r="326" customFormat="1" s="29">
      <c r="B326" s="42" t="n"/>
      <c r="C326" s="42" t="n"/>
      <c r="D326" s="39" t="n"/>
      <c r="E326" s="39" t="n"/>
      <c r="H326" s="39" t="n"/>
      <c r="K326" s="39" t="n"/>
      <c r="N326" s="39" t="n"/>
      <c r="Q326" s="39" t="n"/>
    </row>
    <row r="327" customFormat="1" s="29">
      <c r="B327" s="42" t="n"/>
      <c r="C327" s="42" t="n"/>
      <c r="D327" s="39" t="n"/>
      <c r="E327" s="39" t="n"/>
      <c r="H327" s="39" t="n"/>
      <c r="K327" s="39" t="n"/>
      <c r="N327" s="39" t="n"/>
      <c r="Q327" s="39" t="n"/>
    </row>
    <row r="328" customFormat="1" s="29">
      <c r="B328" s="42" t="n"/>
      <c r="C328" s="42" t="n"/>
      <c r="D328" s="39" t="n"/>
      <c r="E328" s="39" t="n"/>
      <c r="H328" s="39" t="n"/>
      <c r="K328" s="39" t="n"/>
      <c r="N328" s="39" t="n"/>
      <c r="Q328" s="39" t="n"/>
    </row>
    <row r="329" customFormat="1" s="29">
      <c r="B329" s="42" t="n"/>
      <c r="C329" s="42" t="n"/>
      <c r="D329" s="39" t="n"/>
      <c r="E329" s="39" t="n"/>
      <c r="H329" s="39" t="n"/>
      <c r="K329" s="39" t="n"/>
      <c r="N329" s="39" t="n"/>
      <c r="Q329" s="39" t="n"/>
    </row>
    <row r="330" customFormat="1" s="29">
      <c r="B330" s="42" t="n"/>
      <c r="C330" s="42" t="n"/>
      <c r="D330" s="39" t="n"/>
      <c r="E330" s="39" t="n"/>
      <c r="H330" s="39" t="n"/>
      <c r="K330" s="39" t="n"/>
      <c r="N330" s="39" t="n"/>
      <c r="Q330" s="39" t="n"/>
    </row>
    <row r="331" customFormat="1" s="29">
      <c r="B331" s="42" t="n"/>
      <c r="C331" s="42" t="n"/>
      <c r="D331" s="39" t="n"/>
      <c r="E331" s="39" t="n"/>
      <c r="H331" s="39" t="n"/>
      <c r="K331" s="39" t="n"/>
      <c r="N331" s="39" t="n"/>
      <c r="Q331" s="39" t="n"/>
    </row>
    <row r="332" customFormat="1" s="29">
      <c r="B332" s="42" t="n"/>
      <c r="C332" s="42" t="n"/>
      <c r="D332" s="39" t="n"/>
      <c r="E332" s="39" t="n"/>
      <c r="H332" s="39" t="n"/>
      <c r="K332" s="39" t="n"/>
      <c r="N332" s="39" t="n"/>
      <c r="Q332" s="39" t="n"/>
    </row>
    <row r="333" customFormat="1" s="29">
      <c r="B333" s="42" t="n"/>
      <c r="C333" s="42" t="n"/>
      <c r="D333" s="39" t="n"/>
      <c r="E333" s="39" t="n"/>
      <c r="H333" s="39" t="n"/>
      <c r="K333" s="39" t="n"/>
      <c r="N333" s="39" t="n"/>
      <c r="Q333" s="39" t="n"/>
    </row>
    <row r="334" customFormat="1" s="29">
      <c r="B334" s="42" t="n"/>
      <c r="C334" s="42" t="n"/>
      <c r="D334" s="39" t="n"/>
      <c r="E334" s="39" t="n"/>
      <c r="H334" s="39" t="n"/>
      <c r="K334" s="39" t="n"/>
      <c r="N334" s="39" t="n"/>
      <c r="Q334" s="39" t="n"/>
    </row>
    <row r="335" customFormat="1" s="29">
      <c r="B335" s="42" t="n"/>
      <c r="C335" s="42" t="n"/>
      <c r="D335" s="39" t="n"/>
      <c r="E335" s="39" t="n"/>
      <c r="H335" s="39" t="n"/>
      <c r="K335" s="39" t="n"/>
      <c r="N335" s="39" t="n"/>
      <c r="Q335" s="39" t="n"/>
    </row>
    <row r="336" customFormat="1" s="29">
      <c r="B336" s="42" t="n"/>
      <c r="C336" s="42" t="n"/>
      <c r="D336" s="39" t="n"/>
      <c r="E336" s="39" t="n"/>
      <c r="H336" s="39" t="n"/>
      <c r="K336" s="39" t="n"/>
      <c r="N336" s="39" t="n"/>
      <c r="Q336" s="39" t="n"/>
    </row>
    <row r="337" customFormat="1" s="29">
      <c r="B337" s="42" t="n"/>
      <c r="C337" s="42" t="n"/>
      <c r="D337" s="39" t="n"/>
      <c r="E337" s="39" t="n"/>
      <c r="H337" s="39" t="n"/>
      <c r="K337" s="39" t="n"/>
      <c r="N337" s="39" t="n"/>
      <c r="Q337" s="39" t="n"/>
    </row>
    <row r="338" customFormat="1" s="29">
      <c r="B338" s="42" t="n"/>
      <c r="C338" s="42" t="n"/>
      <c r="D338" s="39" t="n"/>
      <c r="E338" s="39" t="n"/>
      <c r="H338" s="39" t="n"/>
      <c r="K338" s="39" t="n"/>
      <c r="N338" s="39" t="n"/>
      <c r="Q338" s="39" t="n"/>
    </row>
    <row r="339" customFormat="1" s="29">
      <c r="B339" s="42" t="n"/>
      <c r="C339" s="42" t="n"/>
      <c r="D339" s="39" t="n"/>
      <c r="E339" s="39" t="n"/>
      <c r="H339" s="39" t="n"/>
      <c r="K339" s="39" t="n"/>
      <c r="N339" s="39" t="n"/>
      <c r="Q339" s="39" t="n"/>
    </row>
    <row r="340" customFormat="1" s="29">
      <c r="B340" s="42" t="n"/>
      <c r="C340" s="42" t="n"/>
      <c r="D340" s="39" t="n"/>
      <c r="E340" s="39" t="n"/>
      <c r="H340" s="39" t="n"/>
      <c r="K340" s="39" t="n"/>
      <c r="N340" s="39" t="n"/>
      <c r="Q340" s="39" t="n"/>
    </row>
    <row r="341" customFormat="1" s="29">
      <c r="B341" s="42" t="n"/>
      <c r="C341" s="42" t="n"/>
      <c r="D341" s="39" t="n"/>
      <c r="E341" s="39" t="n"/>
      <c r="H341" s="39" t="n"/>
      <c r="K341" s="39" t="n"/>
      <c r="N341" s="39" t="n"/>
      <c r="Q341" s="39" t="n"/>
    </row>
    <row r="342" customFormat="1" s="29">
      <c r="B342" s="42" t="n"/>
      <c r="C342" s="42" t="n"/>
      <c r="D342" s="39" t="n"/>
      <c r="E342" s="39" t="n"/>
      <c r="H342" s="39" t="n"/>
      <c r="K342" s="39" t="n"/>
      <c r="N342" s="39" t="n"/>
      <c r="Q342" s="39" t="n"/>
    </row>
    <row r="343" customFormat="1" s="29">
      <c r="B343" s="42" t="n"/>
      <c r="C343" s="42" t="n"/>
      <c r="D343" s="39" t="n"/>
      <c r="E343" s="39" t="n"/>
      <c r="H343" s="39" t="n"/>
      <c r="K343" s="39" t="n"/>
      <c r="N343" s="39" t="n"/>
      <c r="Q343" s="39" t="n"/>
    </row>
    <row r="344" customFormat="1" s="29">
      <c r="B344" s="42" t="n"/>
      <c r="C344" s="42" t="n"/>
      <c r="D344" s="39" t="n"/>
      <c r="E344" s="39" t="n"/>
      <c r="H344" s="39" t="n"/>
      <c r="K344" s="39" t="n"/>
      <c r="N344" s="39" t="n"/>
      <c r="Q344" s="39" t="n"/>
    </row>
    <row r="345" customFormat="1" s="29">
      <c r="B345" s="42" t="n"/>
      <c r="C345" s="42" t="n"/>
      <c r="D345" s="39" t="n"/>
      <c r="E345" s="39" t="n"/>
      <c r="H345" s="39" t="n"/>
      <c r="K345" s="39" t="n"/>
      <c r="N345" s="39" t="n"/>
      <c r="Q345" s="39" t="n"/>
    </row>
    <row r="346" customFormat="1" s="29">
      <c r="B346" s="42" t="n"/>
      <c r="C346" s="42" t="n"/>
      <c r="D346" s="39" t="n"/>
      <c r="E346" s="39" t="n"/>
      <c r="H346" s="39" t="n"/>
      <c r="K346" s="39" t="n"/>
      <c r="N346" s="39" t="n"/>
      <c r="Q346" s="39" t="n"/>
    </row>
    <row r="347" customFormat="1" s="29">
      <c r="B347" s="42" t="n"/>
      <c r="C347" s="42" t="n"/>
      <c r="D347" s="39" t="n"/>
      <c r="E347" s="39" t="n"/>
      <c r="H347" s="39" t="n"/>
      <c r="K347" s="39" t="n"/>
      <c r="N347" s="39" t="n"/>
      <c r="Q347" s="39" t="n"/>
    </row>
    <row r="348" customFormat="1" s="29">
      <c r="B348" s="42" t="n"/>
      <c r="C348" s="42" t="n"/>
      <c r="D348" s="39" t="n"/>
      <c r="E348" s="39" t="n"/>
      <c r="H348" s="39" t="n"/>
      <c r="K348" s="39" t="n"/>
      <c r="N348" s="39" t="n"/>
      <c r="Q348" s="39" t="n"/>
    </row>
    <row r="349" customFormat="1" s="29">
      <c r="B349" s="42" t="n"/>
      <c r="C349" s="42" t="n"/>
      <c r="D349" s="39" t="n"/>
      <c r="E349" s="39" t="n"/>
      <c r="H349" s="39" t="n"/>
      <c r="K349" s="39" t="n"/>
      <c r="N349" s="39" t="n"/>
      <c r="Q349" s="39" t="n"/>
    </row>
    <row r="350" customFormat="1" s="29">
      <c r="B350" s="42" t="n"/>
      <c r="C350" s="42" t="n"/>
      <c r="D350" s="39" t="n"/>
      <c r="E350" s="39" t="n"/>
      <c r="H350" s="39" t="n"/>
      <c r="K350" s="39" t="n"/>
      <c r="N350" s="39" t="n"/>
      <c r="Q350" s="39" t="n"/>
    </row>
    <row r="351" customFormat="1" s="29">
      <c r="B351" s="42" t="n"/>
      <c r="C351" s="42" t="n"/>
      <c r="D351" s="39" t="n"/>
      <c r="E351" s="39" t="n"/>
      <c r="H351" s="39" t="n"/>
      <c r="K351" s="39" t="n"/>
      <c r="N351" s="39" t="n"/>
      <c r="Q351" s="39" t="n"/>
    </row>
    <row r="352" customFormat="1" s="29">
      <c r="B352" s="42" t="n"/>
      <c r="C352" s="42" t="n"/>
      <c r="D352" s="39" t="n"/>
      <c r="E352" s="39" t="n"/>
      <c r="H352" s="39" t="n"/>
      <c r="K352" s="39" t="n"/>
      <c r="N352" s="39" t="n"/>
      <c r="Q352" s="39" t="n"/>
    </row>
    <row r="353" customFormat="1" s="29">
      <c r="B353" s="42" t="n"/>
      <c r="C353" s="42" t="n"/>
      <c r="D353" s="39" t="n"/>
      <c r="E353" s="39" t="n"/>
      <c r="H353" s="39" t="n"/>
      <c r="K353" s="39" t="n"/>
      <c r="N353" s="39" t="n"/>
      <c r="Q353" s="39" t="n"/>
    </row>
    <row r="354" customFormat="1" s="29">
      <c r="B354" s="42" t="n"/>
      <c r="C354" s="42" t="n"/>
      <c r="D354" s="39" t="n"/>
      <c r="E354" s="39" t="n"/>
      <c r="H354" s="39" t="n"/>
      <c r="K354" s="39" t="n"/>
      <c r="N354" s="39" t="n"/>
      <c r="Q354" s="39" t="n"/>
    </row>
    <row r="355" customFormat="1" s="29">
      <c r="B355" s="42" t="n"/>
      <c r="C355" s="42" t="n"/>
      <c r="D355" s="39" t="n"/>
      <c r="E355" s="39" t="n"/>
      <c r="H355" s="39" t="n"/>
      <c r="K355" s="39" t="n"/>
      <c r="N355" s="39" t="n"/>
      <c r="Q355" s="39" t="n"/>
    </row>
    <row r="356" customFormat="1" s="29">
      <c r="B356" s="42" t="n"/>
      <c r="C356" s="42" t="n"/>
      <c r="D356" s="39" t="n"/>
      <c r="E356" s="39" t="n"/>
      <c r="H356" s="39" t="n"/>
      <c r="K356" s="39" t="n"/>
      <c r="N356" s="39" t="n"/>
      <c r="Q356" s="39" t="n"/>
    </row>
    <row r="357" customFormat="1" s="29">
      <c r="B357" s="42" t="n"/>
      <c r="C357" s="42" t="n"/>
      <c r="D357" s="39" t="n"/>
      <c r="E357" s="39" t="n"/>
      <c r="H357" s="39" t="n"/>
      <c r="K357" s="39" t="n"/>
      <c r="N357" s="39" t="n"/>
      <c r="Q357" s="39" t="n"/>
    </row>
    <row r="358" customFormat="1" s="29">
      <c r="B358" s="42" t="n"/>
      <c r="C358" s="42" t="n"/>
      <c r="D358" s="39" t="n"/>
      <c r="E358" s="39" t="n"/>
      <c r="H358" s="39" t="n"/>
      <c r="K358" s="39" t="n"/>
      <c r="N358" s="39" t="n"/>
      <c r="Q358" s="39" t="n"/>
    </row>
    <row r="359" customFormat="1" s="29">
      <c r="B359" s="42" t="n"/>
      <c r="C359" s="42" t="n"/>
      <c r="D359" s="39" t="n"/>
      <c r="E359" s="39" t="n"/>
      <c r="H359" s="39" t="n"/>
      <c r="K359" s="39" t="n"/>
      <c r="N359" s="39" t="n"/>
      <c r="Q359" s="39" t="n"/>
    </row>
    <row r="360" customFormat="1" s="29">
      <c r="B360" s="42" t="n"/>
      <c r="C360" s="42" t="n"/>
      <c r="D360" s="39" t="n"/>
      <c r="E360" s="39" t="n"/>
      <c r="H360" s="39" t="n"/>
      <c r="K360" s="39" t="n"/>
      <c r="N360" s="39" t="n"/>
      <c r="Q360" s="39" t="n"/>
    </row>
    <row r="361" customFormat="1" s="29">
      <c r="B361" s="42" t="n"/>
      <c r="C361" s="42" t="n"/>
      <c r="D361" s="39" t="n"/>
      <c r="E361" s="39" t="n"/>
      <c r="H361" s="39" t="n"/>
      <c r="K361" s="39" t="n"/>
      <c r="N361" s="39" t="n"/>
      <c r="Q361" s="39" t="n"/>
    </row>
    <row r="362" customFormat="1" s="29"/>
    <row r="363" customFormat="1" s="29"/>
  </sheetData>
  <mergeCells count="14">
    <mergeCell ref="W1:W2"/>
    <mergeCell ref="U1:U2"/>
    <mergeCell ref="J1:L1"/>
    <mergeCell ref="P1:R1"/>
    <mergeCell ref="X1:X2"/>
    <mergeCell ref="M1:O1"/>
    <mergeCell ref="S1:S2"/>
    <mergeCell ref="C1:C2"/>
    <mergeCell ref="B1:B2"/>
    <mergeCell ref="V1:V2"/>
    <mergeCell ref="D1:F1"/>
    <mergeCell ref="G1:I1"/>
    <mergeCell ref="T1:T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4" min="1" max="1"/>
    <col width="9.34166666666667" customWidth="1" style="4" min="2" max="2"/>
    <col width="10.675" customWidth="1" style="4" min="3" max="3"/>
    <col width="6.625" customWidth="1" style="4" min="4" max="30"/>
    <col width="9" customWidth="1" style="4" min="31" max="16384"/>
  </cols>
  <sheetData>
    <row r="1" ht="22.5" customHeight="1">
      <c r="A1" s="59" t="inlineStr">
        <is>
          <t>球队</t>
        </is>
      </c>
      <c r="B1" s="59" t="inlineStr">
        <is>
          <t>出场片段</t>
        </is>
      </c>
      <c r="C1" s="59" t="inlineStr">
        <is>
          <t>总时长</t>
        </is>
      </c>
      <c r="D1" s="60" t="inlineStr">
        <is>
          <t>近投</t>
        </is>
      </c>
      <c r="E1" s="61" t="n"/>
      <c r="F1" s="61" t="n"/>
      <c r="G1" s="61" t="n"/>
      <c r="H1" s="60" t="inlineStr">
        <is>
          <t>中投</t>
        </is>
      </c>
      <c r="I1" s="61" t="n"/>
      <c r="J1" s="61" t="n"/>
      <c r="K1" s="61" t="n"/>
      <c r="L1" s="60" t="inlineStr">
        <is>
          <t>远投</t>
        </is>
      </c>
      <c r="M1" s="61" t="n"/>
      <c r="N1" s="61" t="n"/>
      <c r="O1" s="61" t="n"/>
      <c r="P1" s="60" t="inlineStr">
        <is>
          <t>罚球</t>
        </is>
      </c>
      <c r="Q1" s="61" t="n"/>
      <c r="R1" s="61" t="n"/>
      <c r="S1" s="61" t="n"/>
      <c r="T1" s="60" t="inlineStr">
        <is>
          <t>总投</t>
        </is>
      </c>
      <c r="U1" s="61" t="n"/>
      <c r="V1" s="61" t="n"/>
      <c r="W1" s="61" t="n"/>
      <c r="X1" s="59" t="inlineStr">
        <is>
          <t>攻板</t>
        </is>
      </c>
      <c r="Y1" s="59" t="inlineStr">
        <is>
          <t>防板</t>
        </is>
      </c>
      <c r="Z1" s="59" t="inlineStr">
        <is>
          <t>总篮板</t>
        </is>
      </c>
      <c r="AA1" s="59" t="inlineStr">
        <is>
          <t>助攻</t>
        </is>
      </c>
      <c r="AB1" s="59" t="inlineStr">
        <is>
          <t>抢断</t>
        </is>
      </c>
      <c r="AC1" s="59" t="inlineStr">
        <is>
          <t>盖帽</t>
        </is>
      </c>
      <c r="AD1" s="62" t="inlineStr">
        <is>
          <t>+/-</t>
        </is>
      </c>
    </row>
    <row r="2" ht="22.5" customFormat="1" customHeight="1" s="2">
      <c r="A2" s="8" t="n"/>
      <c r="B2" s="8" t="n"/>
      <c r="C2" s="8" t="n"/>
      <c r="D2" s="6" t="inlineStr">
        <is>
          <t>出手</t>
        </is>
      </c>
      <c r="E2" s="6" t="inlineStr">
        <is>
          <t>命中</t>
        </is>
      </c>
      <c r="F2" s="6" t="inlineStr">
        <is>
          <t>得分</t>
        </is>
      </c>
      <c r="G2" s="6" t="inlineStr">
        <is>
          <t>命中率</t>
        </is>
      </c>
      <c r="H2" s="6" t="inlineStr">
        <is>
          <t>出手</t>
        </is>
      </c>
      <c r="I2" s="6" t="inlineStr">
        <is>
          <t>命中</t>
        </is>
      </c>
      <c r="J2" s="6" t="inlineStr">
        <is>
          <t>得分</t>
        </is>
      </c>
      <c r="K2" s="6" t="inlineStr">
        <is>
          <t>命中率</t>
        </is>
      </c>
      <c r="L2" s="6" t="inlineStr">
        <is>
          <t>出手</t>
        </is>
      </c>
      <c r="M2" s="6" t="inlineStr">
        <is>
          <t>命中</t>
        </is>
      </c>
      <c r="N2" s="6" t="inlineStr">
        <is>
          <t>得分</t>
        </is>
      </c>
      <c r="O2" s="6" t="inlineStr">
        <is>
          <t>命中率</t>
        </is>
      </c>
      <c r="P2" s="6" t="inlineStr">
        <is>
          <t>出手</t>
        </is>
      </c>
      <c r="Q2" s="6" t="inlineStr">
        <is>
          <t>命中</t>
        </is>
      </c>
      <c r="R2" s="6" t="inlineStr">
        <is>
          <t>得分</t>
        </is>
      </c>
      <c r="S2" s="6" t="inlineStr">
        <is>
          <t>命中率</t>
        </is>
      </c>
      <c r="T2" s="6" t="inlineStr">
        <is>
          <t>出手</t>
        </is>
      </c>
      <c r="U2" s="6" t="inlineStr">
        <is>
          <t>命中</t>
        </is>
      </c>
      <c r="V2" s="6" t="inlineStr">
        <is>
          <t>得分</t>
        </is>
      </c>
      <c r="W2" s="6" t="inlineStr">
        <is>
          <t>命中率</t>
        </is>
      </c>
      <c r="X2" s="8" t="n"/>
      <c r="Y2" s="8" t="n"/>
      <c r="Z2" s="8" t="n"/>
      <c r="AA2" s="8" t="n"/>
      <c r="AB2" s="8" t="n"/>
      <c r="AC2" s="8" t="n"/>
      <c r="AD2" s="8" t="n"/>
    </row>
    <row r="3" ht="22.5" customFormat="1" customHeight="1" s="3">
      <c r="A3" s="9" t="inlineStr">
        <is>
          <t>常青藤A队</t>
        </is>
      </c>
      <c r="B3" s="9">
        <f>SUMPRODUCT(COUNTIF($A$4:$A$9,第8节!$A$3:$A$313))</f>
        <v/>
      </c>
      <c r="C3" s="10">
        <f>SUMPRODUCT(COUNTIF($A$4:$A$9,第8节!$A$3:$A$313),第8节!$C$3:$C$313)-SUMPRODUCT(COUNTIF($A$4:$A$9,第8节!$A$3:$A$313),第8节!$B$3:$B$313)</f>
        <v/>
      </c>
      <c r="D3" s="11">
        <f>SUMPRODUCT(COUNTIF($A$4:$A$9,第8节!$A$3:$A$313),第8节!D$3:D$313)</f>
        <v/>
      </c>
      <c r="E3" s="11">
        <f>SUMPRODUCT(COUNTIF($A$4:$A$9,第8节!$A$3:$A$313),第8节!E$3:E$313)</f>
        <v/>
      </c>
      <c r="F3" s="11">
        <f>SUMPRODUCT(COUNTIF($A$4:$A$9,第8节!$A$3:$A$313),第8节!F$3:F$313)</f>
        <v/>
      </c>
      <c r="G3" s="43">
        <f>IF(D3=0,0,ROUND(F3/(D3*2),3))</f>
        <v/>
      </c>
      <c r="H3" s="11">
        <f>SUMPRODUCT(COUNTIF($A$4:$A$9,第8节!$A$3:$A$313),第8节!G$3:G$313)</f>
        <v/>
      </c>
      <c r="I3" s="11">
        <f>SUMPRODUCT(COUNTIF($A$4:$A$9,第8节!$A$3:$A$313),第8节!H$3:H$313)</f>
        <v/>
      </c>
      <c r="J3" s="11">
        <f>SUMPRODUCT(COUNTIF($A$4:$A$9,第8节!$A$3:$A$313),第8节!I$3:I$313)</f>
        <v/>
      </c>
      <c r="K3" s="43">
        <f>IF(H3=0,0,ROUND(J3/(H3*2),3))</f>
        <v/>
      </c>
      <c r="L3" s="11">
        <f>SUMPRODUCT(COUNTIF($A$4:$A$9,第8节!$A$3:$A$313),第8节!J$3:J$313)</f>
        <v/>
      </c>
      <c r="M3" s="11">
        <f>SUMPRODUCT(COUNTIF($A$4:$A$9,第8节!$A$3:$A$313),第8节!K$3:K$313)</f>
        <v/>
      </c>
      <c r="N3" s="11">
        <f>SUMPRODUCT(COUNTIF($A$4:$A$9,第8节!$A$3:$A$313),第8节!L$3:L$313)</f>
        <v/>
      </c>
      <c r="O3" s="43">
        <f>IF(L3=0,0,ROUND(N3/(L3*3),3))</f>
        <v/>
      </c>
      <c r="P3" s="11">
        <f>SUMPRODUCT(COUNTIF($A$4:$A$9,第8节!$A$3:$A$313),第8节!M$3:M$313)</f>
        <v/>
      </c>
      <c r="Q3" s="11">
        <f>SUMPRODUCT(COUNTIF($A$4:$A$9,第8节!$A$3:$A$313),第8节!N$3:N$313)</f>
        <v/>
      </c>
      <c r="R3" s="11">
        <f>SUMPRODUCT(COUNTIF($A$4:$A$9,第8节!$A$3:$A$313),第8节!O$3:O$313)</f>
        <v/>
      </c>
      <c r="S3" s="43">
        <f>IF(P3=0,0,ROUND(R3/P3,3))</f>
        <v/>
      </c>
      <c r="T3" s="11">
        <f>D3+H3+L3+P3</f>
        <v/>
      </c>
      <c r="U3" s="11">
        <f>E3+I3+M3+Q3</f>
        <v/>
      </c>
      <c r="V3" s="11">
        <f>F3+J3+N3+R3</f>
        <v/>
      </c>
      <c r="W3" s="43">
        <f>IF(D3+H3+L3+P3=0,0,ROUND((F3/2+J3/2+N3/3+R3)/(D3+H3+L3+P3),3))</f>
        <v/>
      </c>
      <c r="X3" s="11">
        <f>SUMPRODUCT(COUNTIF($A$4:$A$9,第8节!$A$3:$A$313),第8节!S$3:S$313)</f>
        <v/>
      </c>
      <c r="Y3" s="11">
        <f>SUMPRODUCT(COUNTIF($A$4:$A$9,第8节!$A$3:$A$313),第8节!T$3:T$313)</f>
        <v/>
      </c>
      <c r="Z3" s="11">
        <f>X3+Y3</f>
        <v/>
      </c>
      <c r="AA3" s="11">
        <f>SUMPRODUCT(COUNTIF($A$4:$A$9,第8节!$A$3:$A$313),第8节!V$3:V$313)</f>
        <v/>
      </c>
      <c r="AB3" s="11">
        <f>SUMPRODUCT(COUNTIF($A$4:$A$9,第8节!$A$3:$A$313),第8节!W$3:W$313)</f>
        <v/>
      </c>
      <c r="AC3" s="11">
        <f>SUMPRODUCT(COUNTIF($A$4:$A$9,第8节!$A$3:$A$313),第8节!X$3:X$313)</f>
        <v/>
      </c>
      <c r="AD3" s="13" t="n"/>
    </row>
    <row r="4" ht="22.5" customHeight="1">
      <c r="A4" s="14" t="inlineStr">
        <is>
          <t>陈赞安</t>
        </is>
      </c>
      <c r="B4" s="14">
        <f>COUNTIF(第8节!$A$3:$A$313,A4)</f>
        <v/>
      </c>
      <c r="C4" s="15">
        <f>SUMIF(第8节!$A$3:$A$313,A4,第8节!$C$3:$C$313)-SUMIF(第8节!$A$3:$A$313,A4,第8节!$B$3:$B$313)</f>
        <v/>
      </c>
      <c r="D4" s="16">
        <f>SUMIF(第8节!$A$3:$A$313,A4,第8节!D$3:D$313)</f>
        <v/>
      </c>
      <c r="E4" s="16">
        <f>SUMIF(第8节!$A$3:$A$313,A4,第8节!E$3:E$313)</f>
        <v/>
      </c>
      <c r="F4" s="16">
        <f>SUMIF(第8节!$A$3:$A$313,A4,第8节!F$3:F$313)</f>
        <v/>
      </c>
      <c r="G4" s="44">
        <f>IF(D4=0,0,ROUND(F4/(D4*2),3))</f>
        <v/>
      </c>
      <c r="H4" s="16">
        <f>SUMIF(第8节!$A$3:$A$313,A4,第8节!G$3:G$313)</f>
        <v/>
      </c>
      <c r="I4" s="16">
        <f>SUMIF(第8节!$A$3:$A$313,A4,第8节!H$3:H$313)</f>
        <v/>
      </c>
      <c r="J4" s="16">
        <f>SUMIF(第8节!$A$3:$A$313,A4,第8节!I$3:I$313)</f>
        <v/>
      </c>
      <c r="K4" s="44">
        <f>IF(H4=0,0,ROUND(J4/(H4*2),3))</f>
        <v/>
      </c>
      <c r="L4" s="16">
        <f>SUMIF(第8节!$A$3:$A$313,A4,第8节!J$3:J$313)</f>
        <v/>
      </c>
      <c r="M4" s="16">
        <f>SUMIF(第8节!$A$3:$A$313,A4,第8节!K$3:K$313)</f>
        <v/>
      </c>
      <c r="N4" s="16">
        <f>SUMIF(第8节!$A$3:$A$313,A4,第8节!L$3:L$313)</f>
        <v/>
      </c>
      <c r="O4" s="44">
        <f>IF(L4=0,0,ROUND(N4/(L4*3),3))</f>
        <v/>
      </c>
      <c r="P4" s="16">
        <f>SUMIF(第8节!$A$3:$A$313,A4,第8节!M$3:M$313)</f>
        <v/>
      </c>
      <c r="Q4" s="16">
        <f>SUMIF(第8节!$A$3:$A$313,A4,第8节!N$3:N$313)</f>
        <v/>
      </c>
      <c r="R4" s="16">
        <f>SUMIF(第8节!$A$3:$A$313,A4,第8节!O$3:O$313)</f>
        <v/>
      </c>
      <c r="S4" s="44">
        <f>IF(P4=0,0,ROUND(R4/P4,3))</f>
        <v/>
      </c>
      <c r="T4" s="16">
        <f>D4+H4+L4+P4</f>
        <v/>
      </c>
      <c r="U4" s="16">
        <f>E4+I4+M4+Q4</f>
        <v/>
      </c>
      <c r="V4" s="16">
        <f>F4+J4+N4+R4</f>
        <v/>
      </c>
      <c r="W4" s="44">
        <f>IF(D4+H4+L4+P4=0,0,ROUND((F4/2+J4/2+N4/3+R4)/(D4+H4+L4+P4),3))</f>
        <v/>
      </c>
      <c r="X4" s="16">
        <f>SUMIF(第8节!$A$3:$A$313,A4,第8节!S$3:S$313)</f>
        <v/>
      </c>
      <c r="Y4" s="16">
        <f>SUMIF(第8节!$A$3:$A$313,A4,第8节!T$3:T$313)</f>
        <v/>
      </c>
      <c r="Z4" s="16">
        <f>X4+Y4</f>
        <v/>
      </c>
      <c r="AA4" s="16">
        <f>SUMIF(第8节!$A$3:$A$313,A4,第8节!V$3:V$313)</f>
        <v/>
      </c>
      <c r="AB4" s="16">
        <f>SUMIF(第8节!$A$3:$A$313,A4,第8节!W$3:W$313)</f>
        <v/>
      </c>
      <c r="AC4" s="16">
        <f>SUMIF(第8节!$A$3:$A$313,A4,第8节!X$3:X$313)</f>
        <v/>
      </c>
      <c r="AD4" s="18" t="n"/>
    </row>
    <row r="5" ht="22.5" customHeight="1">
      <c r="A5" s="14" t="inlineStr">
        <is>
          <t>张绪然</t>
        </is>
      </c>
      <c r="B5" s="14">
        <f>COUNTIF(第8节!$A$3:$A$313,A5)</f>
        <v/>
      </c>
      <c r="C5" s="15">
        <f>SUMIF(第8节!$A$3:$A$313,A5,第8节!$C$3:$C$313)-SUMIF(第8节!$A$3:$A$313,A5,第8节!$B$3:$B$313)</f>
        <v/>
      </c>
      <c r="D5" s="16">
        <f>SUMIF(第8节!$A$3:$A$313,A5,第8节!D$3:D$313)</f>
        <v/>
      </c>
      <c r="E5" s="16">
        <f>SUMIF(第8节!$A$3:$A$313,A5,第8节!E$3:E$313)</f>
        <v/>
      </c>
      <c r="F5" s="16">
        <f>SUMIF(第8节!$A$3:$A$313,A5,第8节!F$3:F$313)</f>
        <v/>
      </c>
      <c r="G5" s="44">
        <f>IF(D5=0,0,ROUND(F5/(D5*2),3))</f>
        <v/>
      </c>
      <c r="H5" s="16">
        <f>SUMIF(第8节!$A$3:$A$313,A5,第8节!G$3:G$313)</f>
        <v/>
      </c>
      <c r="I5" s="16">
        <f>SUMIF(第8节!$A$3:$A$313,A5,第8节!H$3:H$313)</f>
        <v/>
      </c>
      <c r="J5" s="16">
        <f>SUMIF(第8节!$A$3:$A$313,A5,第8节!I$3:I$313)</f>
        <v/>
      </c>
      <c r="K5" s="44">
        <f>IF(H5=0,0,ROUND(J5/(H5*2),3))</f>
        <v/>
      </c>
      <c r="L5" s="16">
        <f>SUMIF(第8节!$A$3:$A$313,A5,第8节!J$3:J$313)</f>
        <v/>
      </c>
      <c r="M5" s="16">
        <f>SUMIF(第8节!$A$3:$A$313,A5,第8节!K$3:K$313)</f>
        <v/>
      </c>
      <c r="N5" s="16">
        <f>SUMIF(第8节!$A$3:$A$313,A5,第8节!L$3:L$313)</f>
        <v/>
      </c>
      <c r="O5" s="44">
        <f>IF(L5=0,0,ROUND(N5/(L5*3),3))</f>
        <v/>
      </c>
      <c r="P5" s="16">
        <f>SUMIF(第8节!$A$3:$A$313,A5,第8节!M$3:M$313)</f>
        <v/>
      </c>
      <c r="Q5" s="16">
        <f>SUMIF(第8节!$A$3:$A$313,A5,第8节!N$3:N$313)</f>
        <v/>
      </c>
      <c r="R5" s="16">
        <f>SUMIF(第8节!$A$3:$A$313,A5,第8节!O$3:O$313)</f>
        <v/>
      </c>
      <c r="S5" s="44">
        <f>IF(P5=0,0,ROUND(R5/P5,3))</f>
        <v/>
      </c>
      <c r="T5" s="16">
        <f>D5+H5+L5+P5</f>
        <v/>
      </c>
      <c r="U5" s="16">
        <f>E5+I5+M5+Q5</f>
        <v/>
      </c>
      <c r="V5" s="16">
        <f>F5+J5+N5+R5</f>
        <v/>
      </c>
      <c r="W5" s="44">
        <f>IF(D5+H5+L5+P5=0,0,ROUND((F5/2+J5/2+N5/3+R5)/(D5+H5+L5+P5),3))</f>
        <v/>
      </c>
      <c r="X5" s="16">
        <f>SUMIF(第8节!$A$3:$A$313,A5,第8节!S$3:S$313)</f>
        <v/>
      </c>
      <c r="Y5" s="16">
        <f>SUMIF(第8节!$A$3:$A$313,A5,第8节!T$3:T$313)</f>
        <v/>
      </c>
      <c r="Z5" s="16">
        <f>X5+Y5</f>
        <v/>
      </c>
      <c r="AA5" s="16">
        <f>SUMIF(第8节!$A$3:$A$313,A5,第8节!V$3:V$313)</f>
        <v/>
      </c>
      <c r="AB5" s="16">
        <f>SUMIF(第8节!$A$3:$A$313,A5,第8节!W$3:W$313)</f>
        <v/>
      </c>
      <c r="AC5" s="16">
        <f>SUMIF(第8节!$A$3:$A$313,A5,第8节!X$3:X$313)</f>
        <v/>
      </c>
      <c r="AD5" s="18" t="n"/>
    </row>
    <row r="6" ht="22.5" customHeight="1">
      <c r="A6" s="14" t="inlineStr">
        <is>
          <t>雷奕梵</t>
        </is>
      </c>
      <c r="B6" s="14">
        <f>COUNTIF(第8节!$A$3:$A$313,A6)</f>
        <v/>
      </c>
      <c r="C6" s="15">
        <f>SUMIF(第8节!$A$3:$A$313,A6,第8节!$C$3:$C$313)-SUMIF(第8节!$A$3:$A$313,A6,第8节!$B$3:$B$313)</f>
        <v/>
      </c>
      <c r="D6" s="16">
        <f>SUMIF(第8节!$A$3:$A$313,A6,第8节!D$3:D$313)</f>
        <v/>
      </c>
      <c r="E6" s="16">
        <f>SUMIF(第8节!$A$3:$A$313,A6,第8节!E$3:E$313)</f>
        <v/>
      </c>
      <c r="F6" s="16">
        <f>SUMIF(第8节!$A$3:$A$313,A6,第8节!F$3:F$313)</f>
        <v/>
      </c>
      <c r="G6" s="44">
        <f>IF(D6=0,0,ROUND(F6/(D6*2),3))</f>
        <v/>
      </c>
      <c r="H6" s="16">
        <f>SUMIF(第8节!$A$3:$A$313,A6,第8节!G$3:G$313)</f>
        <v/>
      </c>
      <c r="I6" s="16">
        <f>SUMIF(第8节!$A$3:$A$313,A6,第8节!H$3:H$313)</f>
        <v/>
      </c>
      <c r="J6" s="16">
        <f>SUMIF(第8节!$A$3:$A$313,A6,第8节!I$3:I$313)</f>
        <v/>
      </c>
      <c r="K6" s="44">
        <f>IF(H6=0,0,ROUND(J6/(H6*2),3))</f>
        <v/>
      </c>
      <c r="L6" s="16">
        <f>SUMIF(第8节!$A$3:$A$313,A6,第8节!J$3:J$313)</f>
        <v/>
      </c>
      <c r="M6" s="16">
        <f>SUMIF(第8节!$A$3:$A$313,A6,第8节!K$3:K$313)</f>
        <v/>
      </c>
      <c r="N6" s="16">
        <f>SUMIF(第8节!$A$3:$A$313,A6,第8节!L$3:L$313)</f>
        <v/>
      </c>
      <c r="O6" s="44">
        <f>IF(L6=0,0,ROUND(N6/(L6*3),3))</f>
        <v/>
      </c>
      <c r="P6" s="16">
        <f>SUMIF(第8节!$A$3:$A$313,A6,第8节!M$3:M$313)</f>
        <v/>
      </c>
      <c r="Q6" s="16">
        <f>SUMIF(第8节!$A$3:$A$313,A6,第8节!N$3:N$313)</f>
        <v/>
      </c>
      <c r="R6" s="16">
        <f>SUMIF(第8节!$A$3:$A$313,A6,第8节!O$3:O$313)</f>
        <v/>
      </c>
      <c r="S6" s="44">
        <f>IF(P6=0,0,ROUND(R6/P6,3))</f>
        <v/>
      </c>
      <c r="T6" s="16">
        <f>D6+H6+L6+P6</f>
        <v/>
      </c>
      <c r="U6" s="16">
        <f>E6+I6+M6+Q6</f>
        <v/>
      </c>
      <c r="V6" s="16">
        <f>F6+J6+N6+R6</f>
        <v/>
      </c>
      <c r="W6" s="44">
        <f>IF(D6+H6+L6+P6=0,0,ROUND((F6/2+J6/2+N6/3+R6)/(D6+H6+L6+P6),3))</f>
        <v/>
      </c>
      <c r="X6" s="16">
        <f>SUMIF(第8节!$A$3:$A$313,A6,第8节!S$3:S$313)</f>
        <v/>
      </c>
      <c r="Y6" s="16">
        <f>SUMIF(第8节!$A$3:$A$313,A6,第8节!T$3:T$313)</f>
        <v/>
      </c>
      <c r="Z6" s="16">
        <f>X6+Y6</f>
        <v/>
      </c>
      <c r="AA6" s="16">
        <f>SUMIF(第8节!$A$3:$A$313,A6,第8节!V$3:V$313)</f>
        <v/>
      </c>
      <c r="AB6" s="16">
        <f>SUMIF(第8节!$A$3:$A$313,A6,第8节!W$3:W$313)</f>
        <v/>
      </c>
      <c r="AC6" s="16">
        <f>SUMIF(第8节!$A$3:$A$313,A6,第8节!X$3:X$313)</f>
        <v/>
      </c>
      <c r="AD6" s="18" t="n"/>
    </row>
    <row r="7" ht="22.5" customHeight="1">
      <c r="A7" s="14" t="inlineStr">
        <is>
          <t>洪浩哲</t>
        </is>
      </c>
      <c r="B7" s="14">
        <f>COUNTIF(第8节!$A$3:$A$313,A7)</f>
        <v/>
      </c>
      <c r="C7" s="15">
        <f>SUMIF(第8节!$A$3:$A$313,A7,第8节!$C$3:$C$313)-SUMIF(第8节!$A$3:$A$313,A7,第8节!$B$3:$B$313)</f>
        <v/>
      </c>
      <c r="D7" s="16">
        <f>SUMIF(第8节!$A$3:$A$313,A7,第8节!D$3:D$313)</f>
        <v/>
      </c>
      <c r="E7" s="16">
        <f>SUMIF(第8节!$A$3:$A$313,A7,第8节!E$3:E$313)</f>
        <v/>
      </c>
      <c r="F7" s="16">
        <f>SUMIF(第8节!$A$3:$A$313,A7,第8节!F$3:F$313)</f>
        <v/>
      </c>
      <c r="G7" s="44">
        <f>IF(D7=0,0,ROUND(F7/(D7*2),3))</f>
        <v/>
      </c>
      <c r="H7" s="16">
        <f>SUMIF(第8节!$A$3:$A$313,A7,第8节!G$3:G$313)</f>
        <v/>
      </c>
      <c r="I7" s="16">
        <f>SUMIF(第8节!$A$3:$A$313,A7,第8节!H$3:H$313)</f>
        <v/>
      </c>
      <c r="J7" s="16">
        <f>SUMIF(第8节!$A$3:$A$313,A7,第8节!I$3:I$313)</f>
        <v/>
      </c>
      <c r="K7" s="44">
        <f>IF(H7=0,0,ROUND(J7/(H7*2),3))</f>
        <v/>
      </c>
      <c r="L7" s="16">
        <f>SUMIF(第8节!$A$3:$A$313,A7,第8节!J$3:J$313)</f>
        <v/>
      </c>
      <c r="M7" s="16">
        <f>SUMIF(第8节!$A$3:$A$313,A7,第8节!K$3:K$313)</f>
        <v/>
      </c>
      <c r="N7" s="16">
        <f>SUMIF(第8节!$A$3:$A$313,A7,第8节!L$3:L$313)</f>
        <v/>
      </c>
      <c r="O7" s="44">
        <f>IF(L7=0,0,ROUND(N7/(L7*3),3))</f>
        <v/>
      </c>
      <c r="P7" s="16">
        <f>SUMIF(第8节!$A$3:$A$313,A7,第8节!M$3:M$313)</f>
        <v/>
      </c>
      <c r="Q7" s="16">
        <f>SUMIF(第8节!$A$3:$A$313,A7,第8节!N$3:N$313)</f>
        <v/>
      </c>
      <c r="R7" s="16">
        <f>SUMIF(第8节!$A$3:$A$313,A7,第8节!O$3:O$313)</f>
        <v/>
      </c>
      <c r="S7" s="44">
        <f>IF(P7=0,0,ROUND(R7/P7,3))</f>
        <v/>
      </c>
      <c r="T7" s="16">
        <f>D7+H7+L7+P7</f>
        <v/>
      </c>
      <c r="U7" s="16">
        <f>E7+I7+M7+Q7</f>
        <v/>
      </c>
      <c r="V7" s="16">
        <f>F7+J7+N7+R7</f>
        <v/>
      </c>
      <c r="W7" s="44">
        <f>IF(D7+H7+L7+P7=0,0,ROUND((F7/2+J7/2+N7/3+R7)/(D7+H7+L7+P7),3))</f>
        <v/>
      </c>
      <c r="X7" s="16">
        <f>SUMIF(第8节!$A$3:$A$313,A7,第8节!S$3:S$313)</f>
        <v/>
      </c>
      <c r="Y7" s="16">
        <f>SUMIF(第8节!$A$3:$A$313,A7,第8节!T$3:T$313)</f>
        <v/>
      </c>
      <c r="Z7" s="16">
        <f>X7+Y7</f>
        <v/>
      </c>
      <c r="AA7" s="16">
        <f>SUMIF(第8节!$A$3:$A$313,A7,第8节!V$3:V$313)</f>
        <v/>
      </c>
      <c r="AB7" s="16">
        <f>SUMIF(第8节!$A$3:$A$313,A7,第8节!W$3:W$313)</f>
        <v/>
      </c>
      <c r="AC7" s="16">
        <f>SUMIF(第8节!$A$3:$A$313,A7,第8节!X$3:X$313)</f>
        <v/>
      </c>
      <c r="AD7" s="18" t="n"/>
    </row>
    <row r="8" ht="22.5" customHeight="1">
      <c r="A8" s="14" t="inlineStr">
        <is>
          <t>刘炎昊</t>
        </is>
      </c>
      <c r="B8" s="14">
        <f>COUNTIF(第8节!$A$3:$A$313,A8)</f>
        <v/>
      </c>
      <c r="C8" s="15">
        <f>SUMIF(第8节!$A$3:$A$313,A8,第8节!$C$3:$C$313)-SUMIF(第8节!$A$3:$A$313,A8,第8节!$B$3:$B$313)</f>
        <v/>
      </c>
      <c r="D8" s="16">
        <f>SUMIF(第8节!$A$3:$A$313,A8,第8节!D$3:D$313)</f>
        <v/>
      </c>
      <c r="E8" s="16">
        <f>SUMIF(第8节!$A$3:$A$313,A8,第8节!E$3:E$313)</f>
        <v/>
      </c>
      <c r="F8" s="16">
        <f>SUMIF(第8节!$A$3:$A$313,A8,第8节!F$3:F$313)</f>
        <v/>
      </c>
      <c r="G8" s="44">
        <f>IF(D8=0,0,ROUND(F8/(D8*2),3))</f>
        <v/>
      </c>
      <c r="H8" s="16">
        <f>SUMIF(第8节!$A$3:$A$313,A8,第8节!G$3:G$313)</f>
        <v/>
      </c>
      <c r="I8" s="16">
        <f>SUMIF(第8节!$A$3:$A$313,A8,第8节!H$3:H$313)</f>
        <v/>
      </c>
      <c r="J8" s="16">
        <f>SUMIF(第8节!$A$3:$A$313,A8,第8节!I$3:I$313)</f>
        <v/>
      </c>
      <c r="K8" s="44">
        <f>IF(H8=0,0,ROUND(J8/(H8*2),3))</f>
        <v/>
      </c>
      <c r="L8" s="16">
        <f>SUMIF(第8节!$A$3:$A$313,A8,第8节!J$3:J$313)</f>
        <v/>
      </c>
      <c r="M8" s="16">
        <f>SUMIF(第8节!$A$3:$A$313,A8,第8节!K$3:K$313)</f>
        <v/>
      </c>
      <c r="N8" s="16">
        <f>SUMIF(第8节!$A$3:$A$313,A8,第8节!L$3:L$313)</f>
        <v/>
      </c>
      <c r="O8" s="44">
        <f>IF(L8=0,0,ROUND(N8/(L8*3),3))</f>
        <v/>
      </c>
      <c r="P8" s="16">
        <f>SUMIF(第8节!$A$3:$A$313,A8,第8节!M$3:M$313)</f>
        <v/>
      </c>
      <c r="Q8" s="16">
        <f>SUMIF(第8节!$A$3:$A$313,A8,第8节!N$3:N$313)</f>
        <v/>
      </c>
      <c r="R8" s="16">
        <f>SUMIF(第8节!$A$3:$A$313,A8,第8节!O$3:O$313)</f>
        <v/>
      </c>
      <c r="S8" s="44">
        <f>IF(P8=0,0,ROUND(R8/P8,3))</f>
        <v/>
      </c>
      <c r="T8" s="16">
        <f>D8+H8+L8+P8</f>
        <v/>
      </c>
      <c r="U8" s="16">
        <f>E8+I8+M8+Q8</f>
        <v/>
      </c>
      <c r="V8" s="16">
        <f>F8+J8+N8+R8</f>
        <v/>
      </c>
      <c r="W8" s="44">
        <f>IF(D8+H8+L8+P8=0,0,ROUND((F8/2+J8/2+N8/3+R8)/(D8+H8+L8+P8),3))</f>
        <v/>
      </c>
      <c r="X8" s="16">
        <f>SUMIF(第8节!$A$3:$A$313,A8,第8节!S$3:S$313)</f>
        <v/>
      </c>
      <c r="Y8" s="16">
        <f>SUMIF(第8节!$A$3:$A$313,A8,第8节!T$3:T$313)</f>
        <v/>
      </c>
      <c r="Z8" s="16">
        <f>X8+Y8</f>
        <v/>
      </c>
      <c r="AA8" s="16">
        <f>SUMIF(第8节!$A$3:$A$313,A8,第8节!V$3:V$313)</f>
        <v/>
      </c>
      <c r="AB8" s="16">
        <f>SUMIF(第8节!$A$3:$A$313,A8,第8节!W$3:W$313)</f>
        <v/>
      </c>
      <c r="AC8" s="16">
        <f>SUMIF(第8节!$A$3:$A$313,A8,第8节!X$3:X$313)</f>
        <v/>
      </c>
      <c r="AD8" s="18" t="n"/>
    </row>
    <row r="9" ht="22.5" customHeight="1">
      <c r="A9" s="14" t="inlineStr">
        <is>
          <t>施柏宇</t>
        </is>
      </c>
      <c r="B9" s="14">
        <f>COUNTIF(第8节!$A$3:$A$313,A9)</f>
        <v/>
      </c>
      <c r="C9" s="15">
        <f>SUMIF(第8节!$A$3:$A$313,A9,第8节!$C$3:$C$313)-SUMIF(第8节!$A$3:$A$313,A9,第8节!$B$3:$B$313)</f>
        <v/>
      </c>
      <c r="D9" s="16">
        <f>SUMIF(第8节!$A$3:$A$313,A9,第8节!D$3:D$313)</f>
        <v/>
      </c>
      <c r="E9" s="16">
        <f>SUMIF(第8节!$A$3:$A$313,A9,第8节!E$3:E$313)</f>
        <v/>
      </c>
      <c r="F9" s="16">
        <f>SUMIF(第8节!$A$3:$A$313,A9,第8节!F$3:F$313)</f>
        <v/>
      </c>
      <c r="G9" s="44">
        <f>IF(D9=0,0,ROUND(F9/(D9*2),3))</f>
        <v/>
      </c>
      <c r="H9" s="16">
        <f>SUMIF(第8节!$A$3:$A$313,A9,第8节!G$3:G$313)</f>
        <v/>
      </c>
      <c r="I9" s="16">
        <f>SUMIF(第8节!$A$3:$A$313,A9,第8节!H$3:H$313)</f>
        <v/>
      </c>
      <c r="J9" s="16">
        <f>SUMIF(第8节!$A$3:$A$313,A9,第8节!I$3:I$313)</f>
        <v/>
      </c>
      <c r="K9" s="44">
        <f>IF(H9=0,0,ROUND(J9/(H9*2),3))</f>
        <v/>
      </c>
      <c r="L9" s="16">
        <f>SUMIF(第8节!$A$3:$A$313,A9,第8节!J$3:J$313)</f>
        <v/>
      </c>
      <c r="M9" s="16">
        <f>SUMIF(第8节!$A$3:$A$313,A9,第8节!K$3:K$313)</f>
        <v/>
      </c>
      <c r="N9" s="16">
        <f>SUMIF(第8节!$A$3:$A$313,A9,第8节!L$3:L$313)</f>
        <v/>
      </c>
      <c r="O9" s="44">
        <f>IF(L9=0,0,ROUND(N9/(L9*3),3))</f>
        <v/>
      </c>
      <c r="P9" s="16">
        <f>SUMIF(第8节!$A$3:$A$313,A9,第8节!M$3:M$313)</f>
        <v/>
      </c>
      <c r="Q9" s="16">
        <f>SUMIF(第8节!$A$3:$A$313,A9,第8节!N$3:N$313)</f>
        <v/>
      </c>
      <c r="R9" s="16">
        <f>SUMIF(第8节!$A$3:$A$313,A9,第8节!O$3:O$313)</f>
        <v/>
      </c>
      <c r="S9" s="44">
        <f>IF(P9=0,0,ROUND(R9/P9,3))</f>
        <v/>
      </c>
      <c r="T9" s="16">
        <f>D9+H9+L9+P9</f>
        <v/>
      </c>
      <c r="U9" s="16">
        <f>E9+I9+M9+Q9</f>
        <v/>
      </c>
      <c r="V9" s="16">
        <f>F9+J9+N9+R9</f>
        <v/>
      </c>
      <c r="W9" s="44">
        <f>IF(D9+H9+L9+P9=0,0,ROUND((F9/2+J9/2+N9/3+R9)/(D9+H9+L9+P9),3))</f>
        <v/>
      </c>
      <c r="X9" s="16">
        <f>SUMIF(第8节!$A$3:$A$313,A9,第8节!S$3:S$313)</f>
        <v/>
      </c>
      <c r="Y9" s="16">
        <f>SUMIF(第8节!$A$3:$A$313,A9,第8节!T$3:T$313)</f>
        <v/>
      </c>
      <c r="Z9" s="16">
        <f>X9+Y9</f>
        <v/>
      </c>
      <c r="AA9" s="16">
        <f>SUMIF(第8节!$A$3:$A$313,A9,第8节!V$3:V$313)</f>
        <v/>
      </c>
      <c r="AB9" s="16">
        <f>SUMIF(第8节!$A$3:$A$313,A9,第8节!W$3:W$313)</f>
        <v/>
      </c>
      <c r="AC9" s="16">
        <f>SUMIF(第8节!$A$3:$A$313,A9,第8节!X$3:X$313)</f>
        <v/>
      </c>
      <c r="AD9" s="18" t="n"/>
    </row>
    <row r="10" ht="22.5" customHeight="1">
      <c r="A10" s="14" t="inlineStr">
        <is>
          <t>A队球员2</t>
        </is>
      </c>
      <c r="B10" s="14">
        <f>COUNTIF(第8节!$A$3:$A$313,A9)</f>
        <v/>
      </c>
      <c r="C10" s="15">
        <f>SUMIF(第8节!$A$3:$A$313,A9,第8节!$C$3:$C$313)-SUMIF(第8节!$A$3:$A$313,A9,第8节!$B$3:$B$313)</f>
        <v/>
      </c>
      <c r="D10" s="16">
        <f>SUMIF(第8节!$A$3:$A$313,A9,第8节!D$3:D$313)</f>
        <v/>
      </c>
      <c r="E10" s="16">
        <f>SUMIF(第8节!$A$3:$A$313,A9,第8节!E$3:E$313)</f>
        <v/>
      </c>
      <c r="F10" s="16">
        <f>SUMIF(第8节!$A$3:$A$313,A9,第8节!F$3:F$313)</f>
        <v/>
      </c>
      <c r="G10" s="44">
        <f>IF(D9=0,0,ROUND(F9/(D9*2),3))</f>
        <v/>
      </c>
      <c r="H10" s="16">
        <f>SUMIF(第8节!$A$3:$A$313,A9,第8节!G$3:G$313)</f>
        <v/>
      </c>
      <c r="I10" s="16">
        <f>SUMIF(第8节!$A$3:$A$313,A9,第8节!H$3:H$313)</f>
        <v/>
      </c>
      <c r="J10" s="16">
        <f>SUMIF(第8节!$A$3:$A$313,A9,第8节!I$3:I$313)</f>
        <v/>
      </c>
      <c r="K10" s="44">
        <f>IF(H9=0,0,ROUND(J9/(H9*2),3))</f>
        <v/>
      </c>
      <c r="L10" s="16">
        <f>SUMIF(第8节!$A$3:$A$313,A9,第8节!J$3:J$313)</f>
        <v/>
      </c>
      <c r="M10" s="16">
        <f>SUMIF(第8节!$A$3:$A$313,A9,第8节!K$3:K$313)</f>
        <v/>
      </c>
      <c r="N10" s="16">
        <f>SUMIF(第8节!$A$3:$A$313,A9,第8节!L$3:L$313)</f>
        <v/>
      </c>
      <c r="O10" s="44">
        <f>IF(L9=0,0,ROUND(N9/(L9*3),3))</f>
        <v/>
      </c>
      <c r="P10" s="16">
        <f>SUMIF(第8节!$A$3:$A$313,A9,第8节!M$3:M$313)</f>
        <v/>
      </c>
      <c r="Q10" s="16">
        <f>SUMIF(第8节!$A$3:$A$313,A9,第8节!N$3:N$313)</f>
        <v/>
      </c>
      <c r="R10" s="16">
        <f>SUMIF(第8节!$A$3:$A$313,A9,第8节!O$3:O$313)</f>
        <v/>
      </c>
      <c r="S10" s="44">
        <f>IF(P9=0,0,ROUND(R9/P9,3))</f>
        <v/>
      </c>
      <c r="T10" s="16">
        <f>D9+H9+L9+P9</f>
        <v/>
      </c>
      <c r="U10" s="16">
        <f>E9+I9+M9+Q9</f>
        <v/>
      </c>
      <c r="V10" s="16">
        <f>F9+J9+N9+R9</f>
        <v/>
      </c>
      <c r="W10" s="44">
        <f>IF(D9+H9+L9+P9=0,0,ROUND((F9/2+J9/2+N9/3+R9)/(D9+H9+L9+P9),3))</f>
        <v/>
      </c>
      <c r="X10" s="16">
        <f>SUMIF(第8节!$A$3:$A$313,A9,第8节!S$3:S$313)</f>
        <v/>
      </c>
      <c r="Y10" s="16">
        <f>SUMIF(第8节!$A$3:$A$313,A9,第8节!T$3:T$313)</f>
        <v/>
      </c>
      <c r="Z10" s="16">
        <f>X9+Y9</f>
        <v/>
      </c>
      <c r="AA10" s="16">
        <f>SUMIF(第8节!$A$3:$A$313,A9,第8节!V$3:V$313)</f>
        <v/>
      </c>
      <c r="AB10" s="16">
        <f>SUMIF(第8节!$A$3:$A$313,A9,第8节!W$3:W$313)</f>
        <v/>
      </c>
      <c r="AC10" s="16">
        <f>SUMIF(第8节!$A$3:$A$313,A9,第8节!X$3:X$313)</f>
        <v/>
      </c>
      <c r="AD10" s="18" t="n"/>
    </row>
    <row r="11" ht="22.5" customHeight="1">
      <c r="A11" s="14" t="inlineStr">
        <is>
          <t>A队球员3</t>
        </is>
      </c>
      <c r="B11" s="14">
        <f>COUNTIF(第8节!$A$3:$A$313,A9)</f>
        <v/>
      </c>
      <c r="C11" s="15">
        <f>SUMIF(第8节!$A$3:$A$313,A9,第8节!$C$3:$C$313)-SUMIF(第8节!$A$3:$A$313,A9,第8节!$B$3:$B$313)</f>
        <v/>
      </c>
      <c r="D11" s="16">
        <f>SUMIF(第8节!$A$3:$A$313,A9,第8节!D$3:D$313)</f>
        <v/>
      </c>
      <c r="E11" s="16">
        <f>SUMIF(第8节!$A$3:$A$313,A9,第8节!E$3:E$313)</f>
        <v/>
      </c>
      <c r="F11" s="16">
        <f>SUMIF(第8节!$A$3:$A$313,A9,第8节!F$3:F$313)</f>
        <v/>
      </c>
      <c r="G11" s="44">
        <f>IF(D9=0,0,ROUND(F9/(D9*2),3))</f>
        <v/>
      </c>
      <c r="H11" s="16">
        <f>SUMIF(第8节!$A$3:$A$313,A9,第8节!G$3:G$313)</f>
        <v/>
      </c>
      <c r="I11" s="16">
        <f>SUMIF(第8节!$A$3:$A$313,A9,第8节!H$3:H$313)</f>
        <v/>
      </c>
      <c r="J11" s="16">
        <f>SUMIF(第8节!$A$3:$A$313,A9,第8节!I$3:I$313)</f>
        <v/>
      </c>
      <c r="K11" s="44">
        <f>IF(H9=0,0,ROUND(J9/(H9*2),3))</f>
        <v/>
      </c>
      <c r="L11" s="16">
        <f>SUMIF(第8节!$A$3:$A$313,A9,第8节!J$3:J$313)</f>
        <v/>
      </c>
      <c r="M11" s="16">
        <f>SUMIF(第8节!$A$3:$A$313,A9,第8节!K$3:K$313)</f>
        <v/>
      </c>
      <c r="N11" s="16">
        <f>SUMIF(第8节!$A$3:$A$313,A9,第8节!L$3:L$313)</f>
        <v/>
      </c>
      <c r="O11" s="44">
        <f>IF(L9=0,0,ROUND(N9/(L9*3),3))</f>
        <v/>
      </c>
      <c r="P11" s="16">
        <f>SUMIF(第8节!$A$3:$A$313,A9,第8节!M$3:M$313)</f>
        <v/>
      </c>
      <c r="Q11" s="16">
        <f>SUMIF(第8节!$A$3:$A$313,A9,第8节!N$3:N$313)</f>
        <v/>
      </c>
      <c r="R11" s="16">
        <f>SUMIF(第8节!$A$3:$A$313,A9,第8节!O$3:O$313)</f>
        <v/>
      </c>
      <c r="S11" s="44">
        <f>IF(P9=0,0,ROUND(R9/P9,3))</f>
        <v/>
      </c>
      <c r="T11" s="16">
        <f>D9+H9+L9+P9</f>
        <v/>
      </c>
      <c r="U11" s="16">
        <f>E9+I9+M9+Q9</f>
        <v/>
      </c>
      <c r="V11" s="16">
        <f>F9+J9+N9+R9</f>
        <v/>
      </c>
      <c r="W11" s="44">
        <f>IF(D9+H9+L9+P9=0,0,ROUND((F9/2+J9/2+N9/3+R9)/(D9+H9+L9+P9),3))</f>
        <v/>
      </c>
      <c r="X11" s="16">
        <f>SUMIF(第8节!$A$3:$A$313,A9,第8节!S$3:S$313)</f>
        <v/>
      </c>
      <c r="Y11" s="16">
        <f>SUMIF(第8节!$A$3:$A$313,A9,第8节!T$3:T$313)</f>
        <v/>
      </c>
      <c r="Z11" s="16">
        <f>X9+Y9</f>
        <v/>
      </c>
      <c r="AA11" s="16">
        <f>SUMIF(第8节!$A$3:$A$313,A9,第8节!V$3:V$313)</f>
        <v/>
      </c>
      <c r="AB11" s="16">
        <f>SUMIF(第8节!$A$3:$A$313,A9,第8节!W$3:W$313)</f>
        <v/>
      </c>
      <c r="AC11" s="16">
        <f>SUMIF(第8节!$A$3:$A$313,A9,第8节!X$3:X$313)</f>
        <v/>
      </c>
      <c r="AD11" s="18" t="n"/>
    </row>
    <row r="12" ht="22.5" customHeight="1">
      <c r="A12" s="14" t="inlineStr">
        <is>
          <t>A队球员4</t>
        </is>
      </c>
      <c r="B12" s="14">
        <f>COUNTIF(第8节!$A$3:$A$313,A9)</f>
        <v/>
      </c>
      <c r="C12" s="15">
        <f>SUMIF(第8节!$A$3:$A$313,A9,第8节!$C$3:$C$313)-SUMIF(第8节!$A$3:$A$313,A9,第8节!$B$3:$B$313)</f>
        <v/>
      </c>
      <c r="D12" s="16">
        <f>SUMIF(第8节!$A$3:$A$313,A9,第8节!D$3:D$313)</f>
        <v/>
      </c>
      <c r="E12" s="16">
        <f>SUMIF(第8节!$A$3:$A$313,A9,第8节!E$3:E$313)</f>
        <v/>
      </c>
      <c r="F12" s="16">
        <f>SUMIF(第8节!$A$3:$A$313,A9,第8节!F$3:F$313)</f>
        <v/>
      </c>
      <c r="G12" s="44">
        <f>IF(D9=0,0,ROUND(F9/(D9*2),3))</f>
        <v/>
      </c>
      <c r="H12" s="16">
        <f>SUMIF(第8节!$A$3:$A$313,A9,第8节!G$3:G$313)</f>
        <v/>
      </c>
      <c r="I12" s="16">
        <f>SUMIF(第8节!$A$3:$A$313,A9,第8节!H$3:H$313)</f>
        <v/>
      </c>
      <c r="J12" s="16">
        <f>SUMIF(第8节!$A$3:$A$313,A9,第8节!I$3:I$313)</f>
        <v/>
      </c>
      <c r="K12" s="44">
        <f>IF(H9=0,0,ROUND(J9/(H9*2),3))</f>
        <v/>
      </c>
      <c r="L12" s="16">
        <f>SUMIF(第8节!$A$3:$A$313,A9,第8节!J$3:J$313)</f>
        <v/>
      </c>
      <c r="M12" s="16">
        <f>SUMIF(第8节!$A$3:$A$313,A9,第8节!K$3:K$313)</f>
        <v/>
      </c>
      <c r="N12" s="16">
        <f>SUMIF(第8节!$A$3:$A$313,A9,第8节!L$3:L$313)</f>
        <v/>
      </c>
      <c r="O12" s="44">
        <f>IF(L9=0,0,ROUND(N9/(L9*3),3))</f>
        <v/>
      </c>
      <c r="P12" s="16">
        <f>SUMIF(第8节!$A$3:$A$313,A9,第8节!M$3:M$313)</f>
        <v/>
      </c>
      <c r="Q12" s="16">
        <f>SUMIF(第8节!$A$3:$A$313,A9,第8节!N$3:N$313)</f>
        <v/>
      </c>
      <c r="R12" s="16">
        <f>SUMIF(第8节!$A$3:$A$313,A9,第8节!O$3:O$313)</f>
        <v/>
      </c>
      <c r="S12" s="44">
        <f>IF(P9=0,0,ROUND(R9/P9,3))</f>
        <v/>
      </c>
      <c r="T12" s="16">
        <f>D9+H9+L9+P9</f>
        <v/>
      </c>
      <c r="U12" s="16">
        <f>E9+I9+M9+Q9</f>
        <v/>
      </c>
      <c r="V12" s="16">
        <f>F9+J9+N9+R9</f>
        <v/>
      </c>
      <c r="W12" s="44">
        <f>IF(D9+H9+L9+P9=0,0,ROUND((F9/2+J9/2+N9/3+R9)/(D9+H9+L9+P9),3))</f>
        <v/>
      </c>
      <c r="X12" s="16">
        <f>SUMIF(第8节!$A$3:$A$313,A9,第8节!S$3:S$313)</f>
        <v/>
      </c>
      <c r="Y12" s="16">
        <f>SUMIF(第8节!$A$3:$A$313,A9,第8节!T$3:T$313)</f>
        <v/>
      </c>
      <c r="Z12" s="16">
        <f>X9+Y9</f>
        <v/>
      </c>
      <c r="AA12" s="16">
        <f>SUMIF(第8节!$A$3:$A$313,A9,第8节!V$3:V$313)</f>
        <v/>
      </c>
      <c r="AB12" s="16">
        <f>SUMIF(第8节!$A$3:$A$313,A9,第8节!W$3:W$313)</f>
        <v/>
      </c>
      <c r="AC12" s="16">
        <f>SUMIF(第8节!$A$3:$A$313,A9,第8节!X$3:X$313)</f>
        <v/>
      </c>
      <c r="AD12" s="18" t="n"/>
    </row>
    <row r="13" ht="22.5" customFormat="1" customHeight="1" s="3">
      <c r="A13" s="14" t="inlineStr">
        <is>
          <t>A队球员5</t>
        </is>
      </c>
      <c r="B13" s="14">
        <f>COUNTIF(第8节!$A$3:$A$313,A9)</f>
        <v/>
      </c>
      <c r="C13" s="15">
        <f>SUMIF(第8节!$A$3:$A$313,A9,第8节!$C$3:$C$313)-SUMIF(第8节!$A$3:$A$313,A9,第8节!$B$3:$B$313)</f>
        <v/>
      </c>
      <c r="D13" s="16">
        <f>SUMIF(第8节!$A$3:$A$313,A9,第8节!D$3:D$313)</f>
        <v/>
      </c>
      <c r="E13" s="16">
        <f>SUMIF(第8节!$A$3:$A$313,A9,第8节!E$3:E$313)</f>
        <v/>
      </c>
      <c r="F13" s="16">
        <f>SUMIF(第8节!$A$3:$A$313,A9,第8节!F$3:F$313)</f>
        <v/>
      </c>
      <c r="G13" s="44">
        <f>IF(D9=0,0,ROUND(F9/(D9*2),3))</f>
        <v/>
      </c>
      <c r="H13" s="16">
        <f>SUMIF(第8节!$A$3:$A$313,A9,第8节!G$3:G$313)</f>
        <v/>
      </c>
      <c r="I13" s="16">
        <f>SUMIF(第8节!$A$3:$A$313,A9,第8节!H$3:H$313)</f>
        <v/>
      </c>
      <c r="J13" s="16">
        <f>SUMIF(第8节!$A$3:$A$313,A9,第8节!I$3:I$313)</f>
        <v/>
      </c>
      <c r="K13" s="44">
        <f>IF(H9=0,0,ROUND(J9/(H9*2),3))</f>
        <v/>
      </c>
      <c r="L13" s="16">
        <f>SUMIF(第8节!$A$3:$A$313,A9,第8节!J$3:J$313)</f>
        <v/>
      </c>
      <c r="M13" s="16">
        <f>SUMIF(第8节!$A$3:$A$313,A9,第8节!K$3:K$313)</f>
        <v/>
      </c>
      <c r="N13" s="16">
        <f>SUMIF(第8节!$A$3:$A$313,A9,第8节!L$3:L$313)</f>
        <v/>
      </c>
      <c r="O13" s="44">
        <f>IF(L9=0,0,ROUND(N9/(L9*3),3))</f>
        <v/>
      </c>
      <c r="P13" s="16">
        <f>SUMIF(第8节!$A$3:$A$313,A9,第8节!M$3:M$313)</f>
        <v/>
      </c>
      <c r="Q13" s="16">
        <f>SUMIF(第8节!$A$3:$A$313,A9,第8节!N$3:N$313)</f>
        <v/>
      </c>
      <c r="R13" s="16">
        <f>SUMIF(第8节!$A$3:$A$313,A9,第8节!O$3:O$313)</f>
        <v/>
      </c>
      <c r="S13" s="44">
        <f>IF(P9=0,0,ROUND(R9/P9,3))</f>
        <v/>
      </c>
      <c r="T13" s="16">
        <f>D9+H9+L9+P9</f>
        <v/>
      </c>
      <c r="U13" s="16">
        <f>E9+I9+M9+Q9</f>
        <v/>
      </c>
      <c r="V13" s="16">
        <f>F9+J9+N9+R9</f>
        <v/>
      </c>
      <c r="W13" s="44">
        <f>IF(D9+H9+L9+P9=0,0,ROUND((F9/2+J9/2+N9/3+R9)/(D9+H9+L9+P9),3))</f>
        <v/>
      </c>
      <c r="X13" s="16">
        <f>SUMIF(第8节!$A$3:$A$313,A9,第8节!S$3:S$313)</f>
        <v/>
      </c>
      <c r="Y13" s="16">
        <f>SUMIF(第8节!$A$3:$A$313,A9,第8节!T$3:T$313)</f>
        <v/>
      </c>
      <c r="Z13" s="16">
        <f>X9+Y9</f>
        <v/>
      </c>
      <c r="AA13" s="16">
        <f>SUMIF(第8节!$A$3:$A$313,A9,第8节!V$3:V$313)</f>
        <v/>
      </c>
      <c r="AB13" s="16">
        <f>SUMIF(第8节!$A$3:$A$313,A9,第8节!W$3:W$313)</f>
        <v/>
      </c>
      <c r="AC13" s="16">
        <f>SUMIF(第8节!$A$3:$A$313,A9,第8节!X$3:X$313)</f>
        <v/>
      </c>
      <c r="AD13" s="18" t="n"/>
    </row>
    <row r="14" ht="22.5" customHeight="1">
      <c r="A14" s="14" t="inlineStr">
        <is>
          <t>A队球员6</t>
        </is>
      </c>
      <c r="B14" s="14">
        <f>COUNTIF(第8节!$A$3:$A$313,A9)</f>
        <v/>
      </c>
      <c r="C14" s="15">
        <f>SUMIF(第8节!$A$3:$A$313,A9,第8节!$C$3:$C$313)-SUMIF(第8节!$A$3:$A$313,A9,第8节!$B$3:$B$313)</f>
        <v/>
      </c>
      <c r="D14" s="16">
        <f>SUMIF(第8节!$A$3:$A$313,A9,第8节!D$3:D$313)</f>
        <v/>
      </c>
      <c r="E14" s="16">
        <f>SUMIF(第8节!$A$3:$A$313,A9,第8节!E$3:E$313)</f>
        <v/>
      </c>
      <c r="F14" s="16">
        <f>SUMIF(第8节!$A$3:$A$313,A9,第8节!F$3:F$313)</f>
        <v/>
      </c>
      <c r="G14" s="44">
        <f>IF(D9=0,0,ROUND(F9/(D9*2),3))</f>
        <v/>
      </c>
      <c r="H14" s="16">
        <f>SUMIF(第8节!$A$3:$A$313,A9,第8节!G$3:G$313)</f>
        <v/>
      </c>
      <c r="I14" s="16">
        <f>SUMIF(第8节!$A$3:$A$313,A9,第8节!H$3:H$313)</f>
        <v/>
      </c>
      <c r="J14" s="16">
        <f>SUMIF(第8节!$A$3:$A$313,A9,第8节!I$3:I$313)</f>
        <v/>
      </c>
      <c r="K14" s="44">
        <f>IF(H9=0,0,ROUND(J9/(H9*2),3))</f>
        <v/>
      </c>
      <c r="L14" s="16">
        <f>SUMIF(第8节!$A$3:$A$313,A9,第8节!J$3:J$313)</f>
        <v/>
      </c>
      <c r="M14" s="16">
        <f>SUMIF(第8节!$A$3:$A$313,A9,第8节!K$3:K$313)</f>
        <v/>
      </c>
      <c r="N14" s="16">
        <f>SUMIF(第8节!$A$3:$A$313,A9,第8节!L$3:L$313)</f>
        <v/>
      </c>
      <c r="O14" s="44">
        <f>IF(L9=0,0,ROUND(N9/(L9*3),3))</f>
        <v/>
      </c>
      <c r="P14" s="16">
        <f>SUMIF(第8节!$A$3:$A$313,A9,第8节!M$3:M$313)</f>
        <v/>
      </c>
      <c r="Q14" s="16">
        <f>SUMIF(第8节!$A$3:$A$313,A9,第8节!N$3:N$313)</f>
        <v/>
      </c>
      <c r="R14" s="16">
        <f>SUMIF(第8节!$A$3:$A$313,A9,第8节!O$3:O$313)</f>
        <v/>
      </c>
      <c r="S14" s="44">
        <f>IF(P9=0,0,ROUND(R9/P9,3))</f>
        <v/>
      </c>
      <c r="T14" s="16">
        <f>D9+H9+L9+P9</f>
        <v/>
      </c>
      <c r="U14" s="16">
        <f>E9+I9+M9+Q9</f>
        <v/>
      </c>
      <c r="V14" s="16">
        <f>F9+J9+N9+R9</f>
        <v/>
      </c>
      <c r="W14" s="44">
        <f>IF(D9+H9+L9+P9=0,0,ROUND((F9/2+J9/2+N9/3+R9)/(D9+H9+L9+P9),3))</f>
        <v/>
      </c>
      <c r="X14" s="16">
        <f>SUMIF(第8节!$A$3:$A$313,A9,第8节!S$3:S$313)</f>
        <v/>
      </c>
      <c r="Y14" s="16">
        <f>SUMIF(第8节!$A$3:$A$313,A9,第8节!T$3:T$313)</f>
        <v/>
      </c>
      <c r="Z14" s="16">
        <f>X9+Y9</f>
        <v/>
      </c>
      <c r="AA14" s="16">
        <f>SUMIF(第8节!$A$3:$A$313,A9,第8节!V$3:V$313)</f>
        <v/>
      </c>
      <c r="AB14" s="16">
        <f>SUMIF(第8节!$A$3:$A$313,A9,第8节!W$3:W$313)</f>
        <v/>
      </c>
      <c r="AC14" s="16">
        <f>SUMIF(第8节!$A$3:$A$313,A9,第8节!X$3:X$313)</f>
        <v/>
      </c>
      <c r="AD14" s="18" t="n"/>
    </row>
    <row r="15" ht="22.5" customHeight="1">
      <c r="A15" s="14" t="inlineStr">
        <is>
          <t>A队球员7</t>
        </is>
      </c>
      <c r="B15" s="14">
        <f>COUNTIF(第8节!$A$3:$A$313,A9)</f>
        <v/>
      </c>
      <c r="C15" s="15">
        <f>SUMIF(第8节!$A$3:$A$313,A9,第8节!$C$3:$C$313)-SUMIF(第8节!$A$3:$A$313,A9,第8节!$B$3:$B$313)</f>
        <v/>
      </c>
      <c r="D15" s="16">
        <f>SUMIF(第8节!$A$3:$A$313,A9,第8节!D$3:D$313)</f>
        <v/>
      </c>
      <c r="E15" s="16">
        <f>SUMIF(第8节!$A$3:$A$313,A9,第8节!E$3:E$313)</f>
        <v/>
      </c>
      <c r="F15" s="16">
        <f>SUMIF(第8节!$A$3:$A$313,A9,第8节!F$3:F$313)</f>
        <v/>
      </c>
      <c r="G15" s="44">
        <f>IF(D9=0,0,ROUND(F9/(D9*2),3))</f>
        <v/>
      </c>
      <c r="H15" s="16">
        <f>SUMIF(第8节!$A$3:$A$313,A9,第8节!G$3:G$313)</f>
        <v/>
      </c>
      <c r="I15" s="16">
        <f>SUMIF(第8节!$A$3:$A$313,A9,第8节!H$3:H$313)</f>
        <v/>
      </c>
      <c r="J15" s="16">
        <f>SUMIF(第8节!$A$3:$A$313,A9,第8节!I$3:I$313)</f>
        <v/>
      </c>
      <c r="K15" s="44">
        <f>IF(H9=0,0,ROUND(J9/(H9*2),3))</f>
        <v/>
      </c>
      <c r="L15" s="16">
        <f>SUMIF(第8节!$A$3:$A$313,A9,第8节!J$3:J$313)</f>
        <v/>
      </c>
      <c r="M15" s="16">
        <f>SUMIF(第8节!$A$3:$A$313,A9,第8节!K$3:K$313)</f>
        <v/>
      </c>
      <c r="N15" s="16">
        <f>SUMIF(第8节!$A$3:$A$313,A9,第8节!L$3:L$313)</f>
        <v/>
      </c>
      <c r="O15" s="44">
        <f>IF(L9=0,0,ROUND(N9/(L9*3),3))</f>
        <v/>
      </c>
      <c r="P15" s="16">
        <f>SUMIF(第8节!$A$3:$A$313,A9,第8节!M$3:M$313)</f>
        <v/>
      </c>
      <c r="Q15" s="16">
        <f>SUMIF(第8节!$A$3:$A$313,A9,第8节!N$3:N$313)</f>
        <v/>
      </c>
      <c r="R15" s="16">
        <f>SUMIF(第8节!$A$3:$A$313,A9,第8节!O$3:O$313)</f>
        <v/>
      </c>
      <c r="S15" s="44">
        <f>IF(P9=0,0,ROUND(R9/P9,3))</f>
        <v/>
      </c>
      <c r="T15" s="16">
        <f>D9+H9+L9+P9</f>
        <v/>
      </c>
      <c r="U15" s="16">
        <f>E9+I9+M9+Q9</f>
        <v/>
      </c>
      <c r="V15" s="16">
        <f>F9+J9+N9+R9</f>
        <v/>
      </c>
      <c r="W15" s="44">
        <f>IF(D9+H9+L9+P9=0,0,ROUND((F9/2+J9/2+N9/3+R9)/(D9+H9+L9+P9),3))</f>
        <v/>
      </c>
      <c r="X15" s="16">
        <f>SUMIF(第8节!$A$3:$A$313,A9,第8节!S$3:S$313)</f>
        <v/>
      </c>
      <c r="Y15" s="16">
        <f>SUMIF(第8节!$A$3:$A$313,A9,第8节!T$3:T$313)</f>
        <v/>
      </c>
      <c r="Z15" s="16">
        <f>X9+Y9</f>
        <v/>
      </c>
      <c r="AA15" s="16">
        <f>SUMIF(第8节!$A$3:$A$313,A9,第8节!V$3:V$313)</f>
        <v/>
      </c>
      <c r="AB15" s="16">
        <f>SUMIF(第8节!$A$3:$A$313,A9,第8节!W$3:W$313)</f>
        <v/>
      </c>
      <c r="AC15" s="16">
        <f>SUMIF(第8节!$A$3:$A$313,A9,第8节!X$3:X$313)</f>
        <v/>
      </c>
      <c r="AD15" s="18" t="n"/>
    </row>
    <row r="16" ht="22.5" customHeight="1">
      <c r="A16" s="19" t="inlineStr">
        <is>
          <t>常青藤B队</t>
        </is>
      </c>
      <c r="B16" s="19">
        <f>SUMPRODUCT(COUNTIF($A$11:$A$17,第8节!$A$3:$A$313))</f>
        <v/>
      </c>
      <c r="C16" s="20">
        <f>SUMPRODUCT(COUNTIF($A$11:$A$17,第8节!$A$3:$A$313),第8节!$C$3:$C$313)-SUMPRODUCT(COUNTIF($A$11:$A$17,第8节!$A$3:$A$313),第8节!$B$3:$B$313)</f>
        <v/>
      </c>
      <c r="D16" s="19">
        <f>SUMPRODUCT(COUNTIF($A$11:$A$17,第8节!$A$3:$A$313),第8节!D$3:D$313)</f>
        <v/>
      </c>
      <c r="E16" s="19">
        <f>SUMPRODUCT(COUNTIF($A$11:$A$17,第8节!$A$3:$A$313),第8节!E$3:E$313)</f>
        <v/>
      </c>
      <c r="F16" s="19">
        <f>SUMPRODUCT(COUNTIF($A$11:$A$17,第8节!$A$3:$A$313),第8节!F$3:F$313)</f>
        <v/>
      </c>
      <c r="G16" s="45">
        <f>IF(D10=0,0,ROUND(F10/(D10*2),3))</f>
        <v/>
      </c>
      <c r="H16" s="19">
        <f>SUMPRODUCT(COUNTIF($A$11:$A$17,第8节!$A$3:$A$313),第8节!G$3:G$313)</f>
        <v/>
      </c>
      <c r="I16" s="19">
        <f>SUMPRODUCT(COUNTIF($A$11:$A$17,第8节!$A$3:$A$313),第8节!H$3:H$313)</f>
        <v/>
      </c>
      <c r="J16" s="19">
        <f>SUMPRODUCT(COUNTIF($A$11:$A$17,第8节!$A$3:$A$313),第8节!I$3:I$313)</f>
        <v/>
      </c>
      <c r="K16" s="45">
        <f>IF(H10=0,0,ROUND(J10/(H10*2),3))</f>
        <v/>
      </c>
      <c r="L16" s="19">
        <f>SUMPRODUCT(COUNTIF($A$11:$A$17,第8节!$A$3:$A$313),第8节!J$3:J$313)</f>
        <v/>
      </c>
      <c r="M16" s="19">
        <f>SUMPRODUCT(COUNTIF($A$11:$A$17,第8节!$A$3:$A$313),第8节!K$3:K$313)</f>
        <v/>
      </c>
      <c r="N16" s="19">
        <f>SUMPRODUCT(COUNTIF($A$11:$A$17,第8节!$A$3:$A$313),第8节!L$3:L$313)</f>
        <v/>
      </c>
      <c r="O16" s="45">
        <f>IF(L10=0,0,ROUND(N10/(L10*3),3))</f>
        <v/>
      </c>
      <c r="P16" s="19">
        <f>SUMPRODUCT(COUNTIF($A$11:$A$17,第8节!$A$3:$A$313),第8节!M$3:M$313)</f>
        <v/>
      </c>
      <c r="Q16" s="19">
        <f>SUMPRODUCT(COUNTIF($A$11:$A$17,第8节!$A$3:$A$313),第8节!N$3:N$313)</f>
        <v/>
      </c>
      <c r="R16" s="19">
        <f>SUMPRODUCT(COUNTIF($A$11:$A$17,第8节!$A$3:$A$313),第8节!O$3:O$313)</f>
        <v/>
      </c>
      <c r="S16" s="45">
        <f>IF(P10=0,0,ROUND(R10/P10,3))</f>
        <v/>
      </c>
      <c r="T16" s="19">
        <f>D10+H10+L10+P10</f>
        <v/>
      </c>
      <c r="U16" s="19">
        <f>E10+I10+M10+Q10</f>
        <v/>
      </c>
      <c r="V16" s="19">
        <f>F10+J10+N10+R10</f>
        <v/>
      </c>
      <c r="W16" s="45">
        <f>IF(D10+H10+L10+P10=0,0,ROUND((F10/2+J10/2+N10/3+R10)/(D10+H10+L10+P10),3))</f>
        <v/>
      </c>
      <c r="X16" s="19">
        <f>SUMPRODUCT(COUNTIF($A$11:$A$17,第8节!$A$3:$A$313),第8节!S$3:S$313)</f>
        <v/>
      </c>
      <c r="Y16" s="19">
        <f>SUMPRODUCT(COUNTIF($A$11:$A$17,第8节!$A$3:$A$313),第8节!T$3:T$313)</f>
        <v/>
      </c>
      <c r="Z16" s="19">
        <f>X10+Y10</f>
        <v/>
      </c>
      <c r="AA16" s="19">
        <f>SUMPRODUCT(COUNTIF($A$11:$A$17,第8节!$A$3:$A$313),第8节!V$3:V$313)</f>
        <v/>
      </c>
      <c r="AB16" s="19">
        <f>SUMPRODUCT(COUNTIF($A$11:$A$17,第8节!$A$3:$A$313),第8节!W$3:W$313)</f>
        <v/>
      </c>
      <c r="AC16" s="19">
        <f>SUMPRODUCT(COUNTIF($A$11:$A$17,第8节!$A$3:$A$313),第8节!X$3:X$313)</f>
        <v/>
      </c>
      <c r="AD16" s="22" t="n"/>
    </row>
    <row r="17" ht="22.5" customHeight="1">
      <c r="A17" s="23" t="inlineStr">
        <is>
          <t>彭天乐</t>
        </is>
      </c>
      <c r="B17" s="23">
        <f>COUNTIF(第8节!$A$3:$A$313,A11)</f>
        <v/>
      </c>
      <c r="C17" s="24">
        <f>SUMIF(第8节!$A$3:$A$313,A11,第8节!$C$3:$C$313)-SUMIF(第8节!$A$3:$A$313,A11,第8节!$B$3:$B$313)</f>
        <v/>
      </c>
      <c r="D17" s="25">
        <f>SUMIF(第8节!$A$3:$A$313,A11,第8节!D$3:D$313)</f>
        <v/>
      </c>
      <c r="E17" s="25">
        <f>SUMIF(第8节!$A$3:$A$313,A11,第8节!E$3:E$313)</f>
        <v/>
      </c>
      <c r="F17" s="25">
        <f>SUMIF(第8节!$A$3:$A$313,A11,第8节!F$3:F$313)</f>
        <v/>
      </c>
      <c r="G17" s="46">
        <f>IF(D11=0,0,ROUND(F11/(D11*2),3))</f>
        <v/>
      </c>
      <c r="H17" s="25">
        <f>SUMIF(第8节!$A$3:$A$313,A11,第8节!G$3:G$313)</f>
        <v/>
      </c>
      <c r="I17" s="25">
        <f>SUMIF(第8节!$A$3:$A$313,A11,第8节!H$3:H$313)</f>
        <v/>
      </c>
      <c r="J17" s="25">
        <f>SUMIF(第8节!$A$3:$A$313,A11,第8节!I$3:I$313)</f>
        <v/>
      </c>
      <c r="K17" s="46">
        <f>IF(H11=0,0,ROUND(J11/(H11*2),3))</f>
        <v/>
      </c>
      <c r="L17" s="25">
        <f>SUMIF(第8节!$A$3:$A$313,A11,第8节!J$3:J$313)</f>
        <v/>
      </c>
      <c r="M17" s="25">
        <f>SUMIF(第8节!$A$3:$A$313,A11,第8节!K$3:K$313)</f>
        <v/>
      </c>
      <c r="N17" s="25">
        <f>SUMIF(第8节!$A$3:$A$313,A11,第8节!L$3:L$313)</f>
        <v/>
      </c>
      <c r="O17" s="46">
        <f>IF(L11=0,0,ROUND(N11/(L11*3),3))</f>
        <v/>
      </c>
      <c r="P17" s="25">
        <f>SUMIF(第8节!$A$3:$A$313,A11,第8节!M$3:M$313)</f>
        <v/>
      </c>
      <c r="Q17" s="25">
        <f>SUMIF(第8节!$A$3:$A$313,A11,第8节!N$3:N$313)</f>
        <v/>
      </c>
      <c r="R17" s="25">
        <f>SUMIF(第8节!$A$3:$A$313,A11,第8节!O$3:O$313)</f>
        <v/>
      </c>
      <c r="S17" s="46">
        <f>IF(P11=0,0,ROUND(R11/P11,3))</f>
        <v/>
      </c>
      <c r="T17" s="25">
        <f>D11+H11+L11+P11</f>
        <v/>
      </c>
      <c r="U17" s="25">
        <f>E11+I11+M11+Q11</f>
        <v/>
      </c>
      <c r="V17" s="25">
        <f>F11+J11+N11+R11</f>
        <v/>
      </c>
      <c r="W17" s="46">
        <f>IF(D11+H11+L11+P11=0,0,ROUND((F11/2+J11/2+N11/3+R11)/(D11+H11+L11+P11),3))</f>
        <v/>
      </c>
      <c r="X17" s="25">
        <f>SUMIF(第8节!$A$3:$A$313,A11,第8节!S$3:S$313)</f>
        <v/>
      </c>
      <c r="Y17" s="25">
        <f>SUMIF(第8节!$A$3:$A$313,A11,第8节!T$3:T$313)</f>
        <v/>
      </c>
      <c r="Z17" s="25">
        <f>X11+Y11</f>
        <v/>
      </c>
      <c r="AA17" s="25">
        <f>SUMIF(第8节!$A$3:$A$313,A11,第8节!V$3:V$313)</f>
        <v/>
      </c>
      <c r="AB17" s="25">
        <f>SUMIF(第8节!$A$3:$A$313,A11,第8节!W$3:W$313)</f>
        <v/>
      </c>
      <c r="AC17" s="25">
        <f>SUMIF(第8节!$A$3:$A$313,A11,第8节!X$3:X$313)</f>
        <v/>
      </c>
      <c r="AD17" s="27" t="n"/>
    </row>
    <row r="18" ht="22.5" customHeight="1">
      <c r="A18" s="23" t="inlineStr">
        <is>
          <t>梁源益</t>
        </is>
      </c>
      <c r="B18" s="23">
        <f>COUNTIF(第8节!$A$3:$A$313,A12)</f>
        <v/>
      </c>
      <c r="C18" s="24">
        <f>SUMIF(第8节!$A$3:$A$313,A12,第8节!$C$3:$C$313)-SUMIF(第8节!$A$3:$A$313,A12,第8节!$B$3:$B$313)</f>
        <v/>
      </c>
      <c r="D18" s="25">
        <f>SUMIF(第8节!$A$3:$A$313,A12,第8节!D$3:D$313)</f>
        <v/>
      </c>
      <c r="E18" s="25">
        <f>SUMIF(第8节!$A$3:$A$313,A12,第8节!E$3:E$313)</f>
        <v/>
      </c>
      <c r="F18" s="25">
        <f>SUMIF(第8节!$A$3:$A$313,A12,第8节!F$3:F$313)</f>
        <v/>
      </c>
      <c r="G18" s="46">
        <f>IF(D12=0,0,ROUND(F12/(D12*2),3))</f>
        <v/>
      </c>
      <c r="H18" s="25">
        <f>SUMIF(第8节!$A$3:$A$313,A12,第8节!G$3:G$313)</f>
        <v/>
      </c>
      <c r="I18" s="25">
        <f>SUMIF(第8节!$A$3:$A$313,A12,第8节!H$3:H$313)</f>
        <v/>
      </c>
      <c r="J18" s="25">
        <f>SUMIF(第8节!$A$3:$A$313,A12,第8节!I$3:I$313)</f>
        <v/>
      </c>
      <c r="K18" s="46">
        <f>IF(H12=0,0,ROUND(J12/(H12*2),3))</f>
        <v/>
      </c>
      <c r="L18" s="25">
        <f>SUMIF(第8节!$A$3:$A$313,A12,第8节!J$3:J$313)</f>
        <v/>
      </c>
      <c r="M18" s="25">
        <f>SUMIF(第8节!$A$3:$A$313,A12,第8节!K$3:K$313)</f>
        <v/>
      </c>
      <c r="N18" s="25">
        <f>SUMIF(第8节!$A$3:$A$313,A12,第8节!L$3:L$313)</f>
        <v/>
      </c>
      <c r="O18" s="46">
        <f>IF(L12=0,0,ROUND(N12/(L12*3),3))</f>
        <v/>
      </c>
      <c r="P18" s="25">
        <f>SUMIF(第8节!$A$3:$A$313,A12,第8节!M$3:M$313)</f>
        <v/>
      </c>
      <c r="Q18" s="25">
        <f>SUMIF(第8节!$A$3:$A$313,A12,第8节!N$3:N$313)</f>
        <v/>
      </c>
      <c r="R18" s="25">
        <f>SUMIF(第8节!$A$3:$A$313,A12,第8节!O$3:O$313)</f>
        <v/>
      </c>
      <c r="S18" s="46">
        <f>IF(P12=0,0,ROUND(R12/P12,3))</f>
        <v/>
      </c>
      <c r="T18" s="25">
        <f>D12+H12+L12+P12</f>
        <v/>
      </c>
      <c r="U18" s="25">
        <f>E12+I12+M12+Q12</f>
        <v/>
      </c>
      <c r="V18" s="25">
        <f>F12+J12+N12+R12</f>
        <v/>
      </c>
      <c r="W18" s="46">
        <f>IF(D12+H12+L12+P12=0,0,ROUND((F12/2+J12/2+N12/3+R12)/(D12+H12+L12+P12),3))</f>
        <v/>
      </c>
      <c r="X18" s="25">
        <f>SUMIF(第8节!$A$3:$A$313,A12,第8节!S$3:S$313)</f>
        <v/>
      </c>
      <c r="Y18" s="25">
        <f>SUMIF(第8节!$A$3:$A$313,A12,第8节!T$3:T$313)</f>
        <v/>
      </c>
      <c r="Z18" s="25">
        <f>X12+Y12</f>
        <v/>
      </c>
      <c r="AA18" s="25">
        <f>SUMIF(第8节!$A$3:$A$313,A12,第8节!V$3:V$313)</f>
        <v/>
      </c>
      <c r="AB18" s="25">
        <f>SUMIF(第8节!$A$3:$A$313,A12,第8节!W$3:W$313)</f>
        <v/>
      </c>
      <c r="AC18" s="25">
        <f>SUMIF(第8节!$A$3:$A$313,A12,第8节!X$3:X$313)</f>
        <v/>
      </c>
      <c r="AD18" s="27" t="n"/>
    </row>
    <row r="19" ht="22.5" customHeight="1">
      <c r="A19" s="23" t="inlineStr">
        <is>
          <t>陈惟勤</t>
        </is>
      </c>
      <c r="B19" s="23">
        <f>COUNTIF(第8节!$A$3:$A$313,A13)</f>
        <v/>
      </c>
      <c r="C19" s="24">
        <f>SUMIF(第8节!$A$3:$A$313,A13,第8节!$C$3:$C$313)-SUMIF(第8节!$A$3:$A$313,A13,第8节!$B$3:$B$313)</f>
        <v/>
      </c>
      <c r="D19" s="25">
        <f>SUMIF(第8节!$A$3:$A$313,A13,第8节!D$3:D$313)</f>
        <v/>
      </c>
      <c r="E19" s="25">
        <f>SUMIF(第8节!$A$3:$A$313,A13,第8节!E$3:E$313)</f>
        <v/>
      </c>
      <c r="F19" s="25">
        <f>SUMIF(第8节!$A$3:$A$313,A13,第8节!F$3:F$313)</f>
        <v/>
      </c>
      <c r="G19" s="46">
        <f>IF(D13=0,0,ROUND(F13/(D13*2),3))</f>
        <v/>
      </c>
      <c r="H19" s="25">
        <f>SUMIF(第8节!$A$3:$A$313,A13,第8节!G$3:G$313)</f>
        <v/>
      </c>
      <c r="I19" s="25">
        <f>SUMIF(第8节!$A$3:$A$313,A13,第8节!H$3:H$313)</f>
        <v/>
      </c>
      <c r="J19" s="25">
        <f>SUMIF(第8节!$A$3:$A$313,A13,第8节!I$3:I$313)</f>
        <v/>
      </c>
      <c r="K19" s="46">
        <f>IF(H13=0,0,ROUND(J13/(H13*2),3))</f>
        <v/>
      </c>
      <c r="L19" s="25">
        <f>SUMIF(第8节!$A$3:$A$313,A13,第8节!J$3:J$313)</f>
        <v/>
      </c>
      <c r="M19" s="25">
        <f>SUMIF(第8节!$A$3:$A$313,A13,第8节!K$3:K$313)</f>
        <v/>
      </c>
      <c r="N19" s="25">
        <f>SUMIF(第8节!$A$3:$A$313,A13,第8节!L$3:L$313)</f>
        <v/>
      </c>
      <c r="O19" s="46">
        <f>IF(L13=0,0,ROUND(N13/(L13*3),3))</f>
        <v/>
      </c>
      <c r="P19" s="25">
        <f>SUMIF(第8节!$A$3:$A$313,A13,第8节!M$3:M$313)</f>
        <v/>
      </c>
      <c r="Q19" s="25">
        <f>SUMIF(第8节!$A$3:$A$313,A13,第8节!N$3:N$313)</f>
        <v/>
      </c>
      <c r="R19" s="25">
        <f>SUMIF(第8节!$A$3:$A$313,A13,第8节!O$3:O$313)</f>
        <v/>
      </c>
      <c r="S19" s="46">
        <f>IF(P13=0,0,ROUND(R13/P13,3))</f>
        <v/>
      </c>
      <c r="T19" s="25">
        <f>D13+H13+L13+P13</f>
        <v/>
      </c>
      <c r="U19" s="25">
        <f>E13+I13+M13+Q13</f>
        <v/>
      </c>
      <c r="V19" s="25">
        <f>F13+J13+N13+R13</f>
        <v/>
      </c>
      <c r="W19" s="46">
        <f>IF(D13+H13+L13+P13=0,0,ROUND((F13/2+J13/2+N13/3+R13)/(D13+H13+L13+P13),3))</f>
        <v/>
      </c>
      <c r="X19" s="25">
        <f>SUMIF(第8节!$A$3:$A$313,A13,第8节!S$3:S$313)</f>
        <v/>
      </c>
      <c r="Y19" s="25">
        <f>SUMIF(第8节!$A$3:$A$313,A13,第8节!T$3:T$313)</f>
        <v/>
      </c>
      <c r="Z19" s="25">
        <f>X13+Y13</f>
        <v/>
      </c>
      <c r="AA19" s="25">
        <f>SUMIF(第8节!$A$3:$A$313,A13,第8节!V$3:V$313)</f>
        <v/>
      </c>
      <c r="AB19" s="25">
        <f>SUMIF(第8节!$A$3:$A$313,A13,第8节!W$3:W$313)</f>
        <v/>
      </c>
      <c r="AC19" s="25">
        <f>SUMIF(第8节!$A$3:$A$313,A13,第8节!X$3:X$313)</f>
        <v/>
      </c>
      <c r="AD19" s="27" t="n"/>
    </row>
    <row r="20" ht="22.5" customHeight="1">
      <c r="A20" s="23" t="inlineStr">
        <is>
          <t>赵沐霖</t>
        </is>
      </c>
      <c r="B20" s="23">
        <f>COUNTIF(第8节!$A$3:$A$313,A14)</f>
        <v/>
      </c>
      <c r="C20" s="24">
        <f>SUMIF(第8节!$A$3:$A$313,A14,第8节!$C$3:$C$313)-SUMIF(第8节!$A$3:$A$313,A14,第8节!$B$3:$B$313)</f>
        <v/>
      </c>
      <c r="D20" s="25">
        <f>SUMIF(第8节!$A$3:$A$313,A14,第8节!D$3:D$313)</f>
        <v/>
      </c>
      <c r="E20" s="25">
        <f>SUMIF(第8节!$A$3:$A$313,A14,第8节!E$3:E$313)</f>
        <v/>
      </c>
      <c r="F20" s="25">
        <f>SUMIF(第8节!$A$3:$A$313,A14,第8节!F$3:F$313)</f>
        <v/>
      </c>
      <c r="G20" s="46">
        <f>IF(D14=0,0,ROUND(F14/(D14*2),3))</f>
        <v/>
      </c>
      <c r="H20" s="25">
        <f>SUMIF(第8节!$A$3:$A$313,A14,第8节!G$3:G$313)</f>
        <v/>
      </c>
      <c r="I20" s="25">
        <f>SUMIF(第8节!$A$3:$A$313,A14,第8节!H$3:H$313)</f>
        <v/>
      </c>
      <c r="J20" s="25">
        <f>SUMIF(第8节!$A$3:$A$313,A14,第8节!I$3:I$313)</f>
        <v/>
      </c>
      <c r="K20" s="46">
        <f>IF(H14=0,0,ROUND(J14/(H14*2),3))</f>
        <v/>
      </c>
      <c r="L20" s="25">
        <f>SUMIF(第8节!$A$3:$A$313,A14,第8节!J$3:J$313)</f>
        <v/>
      </c>
      <c r="M20" s="25">
        <f>SUMIF(第8节!$A$3:$A$313,A14,第8节!K$3:K$313)</f>
        <v/>
      </c>
      <c r="N20" s="25">
        <f>SUMIF(第8节!$A$3:$A$313,A14,第8节!L$3:L$313)</f>
        <v/>
      </c>
      <c r="O20" s="46">
        <f>IF(L14=0,0,ROUND(N14/(L14*3),3))</f>
        <v/>
      </c>
      <c r="P20" s="25">
        <f>SUMIF(第8节!$A$3:$A$313,A14,第8节!M$3:M$313)</f>
        <v/>
      </c>
      <c r="Q20" s="25">
        <f>SUMIF(第8节!$A$3:$A$313,A14,第8节!N$3:N$313)</f>
        <v/>
      </c>
      <c r="R20" s="25">
        <f>SUMIF(第8节!$A$3:$A$313,A14,第8节!O$3:O$313)</f>
        <v/>
      </c>
      <c r="S20" s="46">
        <f>IF(P14=0,0,ROUND(R14/P14,3))</f>
        <v/>
      </c>
      <c r="T20" s="25">
        <f>D14+H14+L14+P14</f>
        <v/>
      </c>
      <c r="U20" s="25">
        <f>E14+I14+M14+Q14</f>
        <v/>
      </c>
      <c r="V20" s="25">
        <f>F14+J14+N14+R14</f>
        <v/>
      </c>
      <c r="W20" s="46">
        <f>IF(D14+H14+L14+P14=0,0,ROUND((F14/2+J14/2+N14/3+R14)/(D14+H14+L14+P14),3))</f>
        <v/>
      </c>
      <c r="X20" s="25">
        <f>SUMIF(第8节!$A$3:$A$313,A14,第8节!S$3:S$313)</f>
        <v/>
      </c>
      <c r="Y20" s="25">
        <f>SUMIF(第8节!$A$3:$A$313,A14,第8节!T$3:T$313)</f>
        <v/>
      </c>
      <c r="Z20" s="25">
        <f>X14+Y14</f>
        <v/>
      </c>
      <c r="AA20" s="25">
        <f>SUMIF(第8节!$A$3:$A$313,A14,第8节!V$3:V$313)</f>
        <v/>
      </c>
      <c r="AB20" s="25">
        <f>SUMIF(第8节!$A$3:$A$313,A14,第8节!W$3:W$313)</f>
        <v/>
      </c>
      <c r="AC20" s="25">
        <f>SUMIF(第8节!$A$3:$A$313,A14,第8节!X$3:X$313)</f>
        <v/>
      </c>
      <c r="AD20" s="27" t="n"/>
    </row>
    <row r="21" ht="22.5" customHeight="1">
      <c r="A21" s="23" t="inlineStr">
        <is>
          <t>申铭赫</t>
        </is>
      </c>
      <c r="B21" s="23">
        <f>COUNTIF(第8节!$A$3:$A$313,A15)</f>
        <v/>
      </c>
      <c r="C21" s="24">
        <f>SUMIF(第8节!$A$3:$A$313,A15,第8节!$C$3:$C$313)-SUMIF(第8节!$A$3:$A$313,A15,第8节!$B$3:$B$313)</f>
        <v/>
      </c>
      <c r="D21" s="25">
        <f>SUMIF(第8节!$A$3:$A$313,A15,第8节!D$3:D$313)</f>
        <v/>
      </c>
      <c r="E21" s="25">
        <f>SUMIF(第8节!$A$3:$A$313,A15,第8节!E$3:E$313)</f>
        <v/>
      </c>
      <c r="F21" s="25">
        <f>SUMIF(第8节!$A$3:$A$313,A15,第8节!F$3:F$313)</f>
        <v/>
      </c>
      <c r="G21" s="46">
        <f>IF(D15=0,0,ROUND(F15/(D15*2),3))</f>
        <v/>
      </c>
      <c r="H21" s="25">
        <f>SUMIF(第8节!$A$3:$A$313,A15,第8节!G$3:G$313)</f>
        <v/>
      </c>
      <c r="I21" s="25">
        <f>SUMIF(第8节!$A$3:$A$313,A15,第8节!H$3:H$313)</f>
        <v/>
      </c>
      <c r="J21" s="25">
        <f>SUMIF(第8节!$A$3:$A$313,A15,第8节!I$3:I$313)</f>
        <v/>
      </c>
      <c r="K21" s="46">
        <f>IF(H15=0,0,ROUND(J15/(H15*2),3))</f>
        <v/>
      </c>
      <c r="L21" s="25">
        <f>SUMIF(第8节!$A$3:$A$313,A15,第8节!J$3:J$313)</f>
        <v/>
      </c>
      <c r="M21" s="25">
        <f>SUMIF(第8节!$A$3:$A$313,A15,第8节!K$3:K$313)</f>
        <v/>
      </c>
      <c r="N21" s="25">
        <f>SUMIF(第8节!$A$3:$A$313,A15,第8节!L$3:L$313)</f>
        <v/>
      </c>
      <c r="O21" s="46">
        <f>IF(L15=0,0,ROUND(N15/(L15*3),3))</f>
        <v/>
      </c>
      <c r="P21" s="25">
        <f>SUMIF(第8节!$A$3:$A$313,A15,第8节!M$3:M$313)</f>
        <v/>
      </c>
      <c r="Q21" s="25">
        <f>SUMIF(第8节!$A$3:$A$313,A15,第8节!N$3:N$313)</f>
        <v/>
      </c>
      <c r="R21" s="25">
        <f>SUMIF(第8节!$A$3:$A$313,A15,第8节!O$3:O$313)</f>
        <v/>
      </c>
      <c r="S21" s="46">
        <f>IF(P15=0,0,ROUND(R15/P15,3))</f>
        <v/>
      </c>
      <c r="T21" s="25">
        <f>D15+H15+L15+P15</f>
        <v/>
      </c>
      <c r="U21" s="25">
        <f>E15+I15+M15+Q15</f>
        <v/>
      </c>
      <c r="V21" s="25">
        <f>F15+J15+N15+R15</f>
        <v/>
      </c>
      <c r="W21" s="46">
        <f>IF(D15+H15+L15+P15=0,0,ROUND((F15/2+J15/2+N15/3+R15)/(D15+H15+L15+P15),3))</f>
        <v/>
      </c>
      <c r="X21" s="25">
        <f>SUMIF(第8节!$A$3:$A$313,A15,第8节!S$3:S$313)</f>
        <v/>
      </c>
      <c r="Y21" s="25">
        <f>SUMIF(第8节!$A$3:$A$313,A15,第8节!T$3:T$313)</f>
        <v/>
      </c>
      <c r="Z21" s="25">
        <f>X15+Y15</f>
        <v/>
      </c>
      <c r="AA21" s="25">
        <f>SUMIF(第8节!$A$3:$A$313,A15,第8节!V$3:V$313)</f>
        <v/>
      </c>
      <c r="AB21" s="25">
        <f>SUMIF(第8节!$A$3:$A$313,A15,第8节!W$3:W$313)</f>
        <v/>
      </c>
      <c r="AC21" s="25">
        <f>SUMIF(第8节!$A$3:$A$313,A15,第8节!X$3:X$313)</f>
        <v/>
      </c>
      <c r="AD21" s="27" t="n"/>
    </row>
    <row r="22">
      <c r="A22" s="23" t="inlineStr">
        <is>
          <t>许馨墨</t>
        </is>
      </c>
      <c r="B22" s="23">
        <f>COUNTIF(第8节!$A$3:$A$313,A16)</f>
        <v/>
      </c>
      <c r="C22" s="24">
        <f>SUMIF(第8节!$A$3:$A$313,A16,第8节!$C$3:$C$313)-SUMIF(第8节!$A$3:$A$313,A16,第8节!$B$3:$B$313)</f>
        <v/>
      </c>
      <c r="D22" s="25">
        <f>SUMIF(第8节!$A$3:$A$313,A16,第8节!D$3:D$313)</f>
        <v/>
      </c>
      <c r="E22" s="25">
        <f>SUMIF(第8节!$A$3:$A$313,A16,第8节!E$3:E$313)</f>
        <v/>
      </c>
      <c r="F22" s="25">
        <f>SUMIF(第8节!$A$3:$A$313,A16,第8节!F$3:F$313)</f>
        <v/>
      </c>
      <c r="G22" s="46">
        <f>IF(D16=0,0,ROUND(F16/(D16*2),3))</f>
        <v/>
      </c>
      <c r="H22" s="25">
        <f>SUMIF(第8节!$A$3:$A$313,A16,第8节!G$3:G$313)</f>
        <v/>
      </c>
      <c r="I22" s="25">
        <f>SUMIF(第8节!$A$3:$A$313,A16,第8节!H$3:H$313)</f>
        <v/>
      </c>
      <c r="J22" s="25">
        <f>SUMIF(第8节!$A$3:$A$313,A16,第8节!I$3:I$313)</f>
        <v/>
      </c>
      <c r="K22" s="46">
        <f>IF(H16=0,0,ROUND(J16/(H16*2),3))</f>
        <v/>
      </c>
      <c r="L22" s="25">
        <f>SUMIF(第8节!$A$3:$A$313,A16,第8节!J$3:J$313)</f>
        <v/>
      </c>
      <c r="M22" s="25">
        <f>SUMIF(第8节!$A$3:$A$313,A16,第8节!K$3:K$313)</f>
        <v/>
      </c>
      <c r="N22" s="25">
        <f>SUMIF(第8节!$A$3:$A$313,A16,第8节!L$3:L$313)</f>
        <v/>
      </c>
      <c r="O22" s="46">
        <f>IF(L16=0,0,ROUND(N16/(L16*3),3))</f>
        <v/>
      </c>
      <c r="P22" s="25">
        <f>SUMIF(第8节!$A$3:$A$313,A16,第8节!M$3:M$313)</f>
        <v/>
      </c>
      <c r="Q22" s="25">
        <f>SUMIF(第8节!$A$3:$A$313,A16,第8节!N$3:N$313)</f>
        <v/>
      </c>
      <c r="R22" s="25">
        <f>SUMIF(第8节!$A$3:$A$313,A16,第8节!O$3:O$313)</f>
        <v/>
      </c>
      <c r="S22" s="46">
        <f>IF(P16=0,0,ROUND(R16/P16,3))</f>
        <v/>
      </c>
      <c r="T22" s="25">
        <f>D16+H16+L16+P16</f>
        <v/>
      </c>
      <c r="U22" s="25">
        <f>E16+I16+M16+Q16</f>
        <v/>
      </c>
      <c r="V22" s="25">
        <f>F16+J16+N16+R16</f>
        <v/>
      </c>
      <c r="W22" s="46">
        <f>IF(D16+H16+L16+P16=0,0,ROUND((F16/2+J16/2+N16/3+R16)/(D16+H16+L16+P16),3))</f>
        <v/>
      </c>
      <c r="X22" s="25">
        <f>SUMIF(第8节!$A$3:$A$313,A16,第8节!S$3:S$313)</f>
        <v/>
      </c>
      <c r="Y22" s="25">
        <f>SUMIF(第8节!$A$3:$A$313,A16,第8节!T$3:T$313)</f>
        <v/>
      </c>
      <c r="Z22" s="25">
        <f>X16+Y16</f>
        <v/>
      </c>
      <c r="AA22" s="25">
        <f>SUMIF(第8节!$A$3:$A$313,A16,第8节!V$3:V$313)</f>
        <v/>
      </c>
      <c r="AB22" s="25">
        <f>SUMIF(第8节!$A$3:$A$313,A16,第8节!W$3:W$313)</f>
        <v/>
      </c>
      <c r="AC22" s="25">
        <f>SUMIF(第8节!$A$3:$A$313,A16,第8节!X$3:X$313)</f>
        <v/>
      </c>
      <c r="AD22" s="27" t="n"/>
    </row>
    <row r="23" ht="14.25" customHeight="1">
      <c r="A23" s="23" t="inlineStr">
        <is>
          <t>喻逸凡</t>
        </is>
      </c>
      <c r="B23" s="23">
        <f>COUNTIF(第8节!$A$3:$A$313,A17)</f>
        <v/>
      </c>
      <c r="C23" s="24">
        <f>SUMIF(第8节!$A$3:$A$313,A17,第8节!$C$3:$C$313)-SUMIF(第8节!$A$3:$A$313,A17,第8节!$B$3:$B$313)</f>
        <v/>
      </c>
      <c r="D23" s="25">
        <f>SUMIF(第8节!$A$3:$A$313,A17,第8节!D$3:D$313)</f>
        <v/>
      </c>
      <c r="E23" s="25">
        <f>SUMIF(第8节!$A$3:$A$313,A17,第8节!E$3:E$313)</f>
        <v/>
      </c>
      <c r="F23" s="25">
        <f>SUMIF(第8节!$A$3:$A$313,A17,第8节!F$3:F$313)</f>
        <v/>
      </c>
      <c r="G23" s="46">
        <f>IF(D17=0,0,ROUND(F17/(D17*2),3))</f>
        <v/>
      </c>
      <c r="H23" s="25">
        <f>SUMIF(第8节!$A$3:$A$313,A17,第8节!G$3:G$313)</f>
        <v/>
      </c>
      <c r="I23" s="25">
        <f>SUMIF(第8节!$A$3:$A$313,A17,第8节!H$3:H$313)</f>
        <v/>
      </c>
      <c r="J23" s="25">
        <f>SUMIF(第8节!$A$3:$A$313,A17,第8节!I$3:I$313)</f>
        <v/>
      </c>
      <c r="K23" s="46">
        <f>IF(H17=0,0,ROUND(J17/(H17*2),3))</f>
        <v/>
      </c>
      <c r="L23" s="25">
        <f>SUMIF(第8节!$A$3:$A$313,A17,第8节!J$3:J$313)</f>
        <v/>
      </c>
      <c r="M23" s="25">
        <f>SUMIF(第8节!$A$3:$A$313,A17,第8节!K$3:K$313)</f>
        <v/>
      </c>
      <c r="N23" s="25">
        <f>SUMIF(第8节!$A$3:$A$313,A17,第8节!L$3:L$313)</f>
        <v/>
      </c>
      <c r="O23" s="46">
        <f>IF(L17=0,0,ROUND(N17/(L17*3),3))</f>
        <v/>
      </c>
      <c r="P23" s="25">
        <f>SUMIF(第8节!$A$3:$A$313,A17,第8节!M$3:M$313)</f>
        <v/>
      </c>
      <c r="Q23" s="25">
        <f>SUMIF(第8节!$A$3:$A$313,A17,第8节!N$3:N$313)</f>
        <v/>
      </c>
      <c r="R23" s="25">
        <f>SUMIF(第8节!$A$3:$A$313,A17,第8节!O$3:O$313)</f>
        <v/>
      </c>
      <c r="S23" s="46">
        <f>IF(P17=0,0,ROUND(R17/P17,3))</f>
        <v/>
      </c>
      <c r="T23" s="25">
        <f>D17+H17+L17+P17</f>
        <v/>
      </c>
      <c r="U23" s="25">
        <f>E17+I17+M17+Q17</f>
        <v/>
      </c>
      <c r="V23" s="25">
        <f>F17+J17+N17+R17</f>
        <v/>
      </c>
      <c r="W23" s="46">
        <f>IF(D17+H17+L17+P17=0,0,ROUND((F17/2+J17/2+N17/3+R17)/(D17+H17+L17+P17),3))</f>
        <v/>
      </c>
      <c r="X23" s="25">
        <f>SUMIF(第8节!$A$3:$A$313,A17,第8节!S$3:S$313)</f>
        <v/>
      </c>
      <c r="Y23" s="25">
        <f>SUMIF(第8节!$A$3:$A$313,A17,第8节!T$3:T$313)</f>
        <v/>
      </c>
      <c r="Z23" s="25">
        <f>X17+Y17</f>
        <v/>
      </c>
      <c r="AA23" s="25">
        <f>SUMIF(第8节!$A$3:$A$313,A17,第8节!V$3:V$313)</f>
        <v/>
      </c>
      <c r="AB23" s="25">
        <f>SUMIF(第8节!$A$3:$A$313,A17,第8节!W$3:W$313)</f>
        <v/>
      </c>
      <c r="AC23" s="25">
        <f>SUMIF(第8节!$A$3:$A$313,A17,第8节!X$3:X$313)</f>
        <v/>
      </c>
      <c r="AD23" s="27" t="n"/>
    </row>
    <row r="24">
      <c r="A24" s="23" t="inlineStr">
        <is>
          <t>B队球员8</t>
        </is>
      </c>
      <c r="B24" s="23">
        <f>COUNTIF(第8节!$A$3:$A$313,A17)</f>
        <v/>
      </c>
      <c r="C24" s="24">
        <f>SUMIF(第8节!$A$3:$A$313,A17,第8节!$C$3:$C$313)-SUMIF(第8节!$A$3:$A$313,A17,第8节!$B$3:$B$313)</f>
        <v/>
      </c>
      <c r="D24" s="25">
        <f>SUMIF(第8节!$A$3:$A$313,A17,第8节!D$3:D$313)</f>
        <v/>
      </c>
      <c r="E24" s="25">
        <f>SUMIF(第8节!$A$3:$A$313,A17,第8节!E$3:E$313)</f>
        <v/>
      </c>
      <c r="F24" s="25">
        <f>SUMIF(第8节!$A$3:$A$313,A17,第8节!F$3:F$313)</f>
        <v/>
      </c>
      <c r="G24" s="46">
        <f>IF(D17=0,0,ROUND(F17/(D17*2),3))</f>
        <v/>
      </c>
      <c r="H24" s="25">
        <f>SUMIF(第8节!$A$3:$A$313,A17,第8节!G$3:G$313)</f>
        <v/>
      </c>
      <c r="I24" s="25">
        <f>SUMIF(第8节!$A$3:$A$313,A17,第8节!H$3:H$313)</f>
        <v/>
      </c>
      <c r="J24" s="25">
        <f>SUMIF(第8节!$A$3:$A$313,A17,第8节!I$3:I$313)</f>
        <v/>
      </c>
      <c r="K24" s="46">
        <f>IF(H17=0,0,ROUND(J17/(H17*2),3))</f>
        <v/>
      </c>
      <c r="L24" s="25">
        <f>SUMIF(第8节!$A$3:$A$313,A17,第8节!J$3:J$313)</f>
        <v/>
      </c>
      <c r="M24" s="25">
        <f>SUMIF(第8节!$A$3:$A$313,A17,第8节!K$3:K$313)</f>
        <v/>
      </c>
      <c r="N24" s="25">
        <f>SUMIF(第8节!$A$3:$A$313,A17,第8节!L$3:L$313)</f>
        <v/>
      </c>
      <c r="O24" s="46">
        <f>IF(L17=0,0,ROUND(N17/(L17*3),3))</f>
        <v/>
      </c>
      <c r="P24" s="25">
        <f>SUMIF(第8节!$A$3:$A$313,A17,第8节!M$3:M$313)</f>
        <v/>
      </c>
      <c r="Q24" s="25">
        <f>SUMIF(第8节!$A$3:$A$313,A17,第8节!N$3:N$313)</f>
        <v/>
      </c>
      <c r="R24" s="25">
        <f>SUMIF(第8节!$A$3:$A$313,A17,第8节!O$3:O$313)</f>
        <v/>
      </c>
      <c r="S24" s="46">
        <f>IF(P17=0,0,ROUND(R17/P17,3))</f>
        <v/>
      </c>
      <c r="T24" s="25">
        <f>D17+H17+L17+P17</f>
        <v/>
      </c>
      <c r="U24" s="25">
        <f>E17+I17+M17+Q17</f>
        <v/>
      </c>
      <c r="V24" s="25">
        <f>F17+J17+N17+R17</f>
        <v/>
      </c>
      <c r="W24" s="46">
        <f>IF(D17+H17+L17+P17=0,0,ROUND((F17/2+J17/2+N17/3+R17)/(D17+H17+L17+P17),3))</f>
        <v/>
      </c>
      <c r="X24" s="25">
        <f>SUMIF(第8节!$A$3:$A$313,A17,第8节!S$3:S$313)</f>
        <v/>
      </c>
      <c r="Y24" s="25">
        <f>SUMIF(第8节!$A$3:$A$313,A17,第8节!T$3:T$313)</f>
        <v/>
      </c>
      <c r="Z24" s="25">
        <f>X17+Y17</f>
        <v/>
      </c>
      <c r="AA24" s="25">
        <f>SUMIF(第8节!$A$3:$A$313,A17,第8节!V$3:V$313)</f>
        <v/>
      </c>
      <c r="AB24" s="25">
        <f>SUMIF(第8节!$A$3:$A$313,A17,第8节!W$3:W$313)</f>
        <v/>
      </c>
      <c r="AC24" s="25">
        <f>SUMIF(第8节!$A$3:$A$313,A17,第8节!X$3:X$313)</f>
        <v/>
      </c>
      <c r="AD24" s="27" t="n"/>
    </row>
    <row r="25">
      <c r="A25" s="23" t="inlineStr">
        <is>
          <t>B队球员9</t>
        </is>
      </c>
      <c r="B25" s="23">
        <f>COUNTIF(第8节!$A$3:$A$313,A17)</f>
        <v/>
      </c>
      <c r="C25" s="24">
        <f>SUMIF(第8节!$A$3:$A$313,A17,第8节!$C$3:$C$313)-SUMIF(第8节!$A$3:$A$313,A17,第8节!$B$3:$B$313)</f>
        <v/>
      </c>
      <c r="D25" s="25">
        <f>SUMIF(第8节!$A$3:$A$313,A17,第8节!D$3:D$313)</f>
        <v/>
      </c>
      <c r="E25" s="25">
        <f>SUMIF(第8节!$A$3:$A$313,A17,第8节!E$3:E$313)</f>
        <v/>
      </c>
      <c r="F25" s="25">
        <f>SUMIF(第8节!$A$3:$A$313,A17,第8节!F$3:F$313)</f>
        <v/>
      </c>
      <c r="G25" s="46">
        <f>IF(D17=0,0,ROUND(F17/(D17*2),3))</f>
        <v/>
      </c>
      <c r="H25" s="25">
        <f>SUMIF(第8节!$A$3:$A$313,A17,第8节!G$3:G$313)</f>
        <v/>
      </c>
      <c r="I25" s="25">
        <f>SUMIF(第8节!$A$3:$A$313,A17,第8节!H$3:H$313)</f>
        <v/>
      </c>
      <c r="J25" s="25">
        <f>SUMIF(第8节!$A$3:$A$313,A17,第8节!I$3:I$313)</f>
        <v/>
      </c>
      <c r="K25" s="46">
        <f>IF(H17=0,0,ROUND(J17/(H17*2),3))</f>
        <v/>
      </c>
      <c r="L25" s="25">
        <f>SUMIF(第8节!$A$3:$A$313,A17,第8节!J$3:J$313)</f>
        <v/>
      </c>
      <c r="M25" s="25">
        <f>SUMIF(第8节!$A$3:$A$313,A17,第8节!K$3:K$313)</f>
        <v/>
      </c>
      <c r="N25" s="25">
        <f>SUMIF(第8节!$A$3:$A$313,A17,第8节!L$3:L$313)</f>
        <v/>
      </c>
      <c r="O25" s="46">
        <f>IF(L17=0,0,ROUND(N17/(L17*3),3))</f>
        <v/>
      </c>
      <c r="P25" s="25">
        <f>SUMIF(第8节!$A$3:$A$313,A17,第8节!M$3:M$313)</f>
        <v/>
      </c>
      <c r="Q25" s="25">
        <f>SUMIF(第8节!$A$3:$A$313,A17,第8节!N$3:N$313)</f>
        <v/>
      </c>
      <c r="R25" s="25">
        <f>SUMIF(第8节!$A$3:$A$313,A17,第8节!O$3:O$313)</f>
        <v/>
      </c>
      <c r="S25" s="46">
        <f>IF(P17=0,0,ROUND(R17/P17,3))</f>
        <v/>
      </c>
      <c r="T25" s="25">
        <f>D17+H17+L17+P17</f>
        <v/>
      </c>
      <c r="U25" s="25">
        <f>E17+I17+M17+Q17</f>
        <v/>
      </c>
      <c r="V25" s="25">
        <f>F17+J17+N17+R17</f>
        <v/>
      </c>
      <c r="W25" s="46">
        <f>IF(D17+H17+L17+P17=0,0,ROUND((F17/2+J17/2+N17/3+R17)/(D17+H17+L17+P17),3))</f>
        <v/>
      </c>
      <c r="X25" s="25">
        <f>SUMIF(第8节!$A$3:$A$313,A17,第8节!S$3:S$313)</f>
        <v/>
      </c>
      <c r="Y25" s="25">
        <f>SUMIF(第8节!$A$3:$A$313,A17,第8节!T$3:T$313)</f>
        <v/>
      </c>
      <c r="Z25" s="25">
        <f>X17+Y17</f>
        <v/>
      </c>
      <c r="AA25" s="25">
        <f>SUMIF(第8节!$A$3:$A$313,A17,第8节!V$3:V$313)</f>
        <v/>
      </c>
      <c r="AB25" s="25">
        <f>SUMIF(第8节!$A$3:$A$313,A17,第8节!W$3:W$313)</f>
        <v/>
      </c>
      <c r="AC25" s="25">
        <f>SUMIF(第8节!$A$3:$A$313,A17,第8节!X$3:X$313)</f>
        <v/>
      </c>
      <c r="AD25" s="27" t="n"/>
    </row>
    <row r="26">
      <c r="A26" s="23" t="inlineStr">
        <is>
          <t>B队球员10</t>
        </is>
      </c>
      <c r="B26" s="23">
        <f>COUNTIF(第8节!$A$3:$A$313,A17)</f>
        <v/>
      </c>
      <c r="C26" s="24">
        <f>SUMIF(第8节!$A$3:$A$313,A17,第8节!$C$3:$C$313)-SUMIF(第8节!$A$3:$A$313,A17,第8节!$B$3:$B$313)</f>
        <v/>
      </c>
      <c r="D26" s="25">
        <f>SUMIF(第8节!$A$3:$A$313,A17,第8节!D$3:D$313)</f>
        <v/>
      </c>
      <c r="E26" s="25">
        <f>SUMIF(第8节!$A$3:$A$313,A17,第8节!E$3:E$313)</f>
        <v/>
      </c>
      <c r="F26" s="25">
        <f>SUMIF(第8节!$A$3:$A$313,A17,第8节!F$3:F$313)</f>
        <v/>
      </c>
      <c r="G26" s="46">
        <f>IF(D17=0,0,ROUND(F17/(D17*2),3))</f>
        <v/>
      </c>
      <c r="H26" s="25">
        <f>SUMIF(第8节!$A$3:$A$313,A17,第8节!G$3:G$313)</f>
        <v/>
      </c>
      <c r="I26" s="25">
        <f>SUMIF(第8节!$A$3:$A$313,A17,第8节!H$3:H$313)</f>
        <v/>
      </c>
      <c r="J26" s="25">
        <f>SUMIF(第8节!$A$3:$A$313,A17,第8节!I$3:I$313)</f>
        <v/>
      </c>
      <c r="K26" s="46">
        <f>IF(H17=0,0,ROUND(J17/(H17*2),3))</f>
        <v/>
      </c>
      <c r="L26" s="25">
        <f>SUMIF(第8节!$A$3:$A$313,A17,第8节!J$3:J$313)</f>
        <v/>
      </c>
      <c r="M26" s="25">
        <f>SUMIF(第8节!$A$3:$A$313,A17,第8节!K$3:K$313)</f>
        <v/>
      </c>
      <c r="N26" s="25">
        <f>SUMIF(第8节!$A$3:$A$313,A17,第8节!L$3:L$313)</f>
        <v/>
      </c>
      <c r="O26" s="46">
        <f>IF(L17=0,0,ROUND(N17/(L17*3),3))</f>
        <v/>
      </c>
      <c r="P26" s="25">
        <f>SUMIF(第8节!$A$3:$A$313,A17,第8节!M$3:M$313)</f>
        <v/>
      </c>
      <c r="Q26" s="25">
        <f>SUMIF(第8节!$A$3:$A$313,A17,第8节!N$3:N$313)</f>
        <v/>
      </c>
      <c r="R26" s="25">
        <f>SUMIF(第8节!$A$3:$A$313,A17,第8节!O$3:O$313)</f>
        <v/>
      </c>
      <c r="S26" s="46">
        <f>IF(P17=0,0,ROUND(R17/P17,3))</f>
        <v/>
      </c>
      <c r="T26" s="25">
        <f>D17+H17+L17+P17</f>
        <v/>
      </c>
      <c r="U26" s="25">
        <f>E17+I17+M17+Q17</f>
        <v/>
      </c>
      <c r="V26" s="25">
        <f>F17+J17+N17+R17</f>
        <v/>
      </c>
      <c r="W26" s="46">
        <f>IF(D17+H17+L17+P17=0,0,ROUND((F17/2+J17/2+N17/3+R17)/(D17+H17+L17+P17),3))</f>
        <v/>
      </c>
      <c r="X26" s="25">
        <f>SUMIF(第8节!$A$3:$A$313,A17,第8节!S$3:S$313)</f>
        <v/>
      </c>
      <c r="Y26" s="25">
        <f>SUMIF(第8节!$A$3:$A$313,A17,第8节!T$3:T$313)</f>
        <v/>
      </c>
      <c r="Z26" s="25">
        <f>X17+Y17</f>
        <v/>
      </c>
      <c r="AA26" s="25">
        <f>SUMIF(第8节!$A$3:$A$313,A17,第8节!V$3:V$313)</f>
        <v/>
      </c>
      <c r="AB26" s="25">
        <f>SUMIF(第8节!$A$3:$A$313,A17,第8节!W$3:W$313)</f>
        <v/>
      </c>
      <c r="AC26" s="25">
        <f>SUMIF(第8节!$A$3:$A$313,A17,第8节!X$3:X$313)</f>
        <v/>
      </c>
      <c r="AD26" s="27" t="n"/>
    </row>
    <row r="27">
      <c r="A27" s="23" t="inlineStr">
        <is>
          <t>B队球员11</t>
        </is>
      </c>
      <c r="B27" s="23">
        <f>COUNTIF(第8节!$A$3:$A$313,A17)</f>
        <v/>
      </c>
      <c r="C27" s="24">
        <f>SUMIF(第8节!$A$3:$A$313,A17,第8节!$C$3:$C$313)-SUMIF(第8节!$A$3:$A$313,A17,第8节!$B$3:$B$313)</f>
        <v/>
      </c>
      <c r="D27" s="25">
        <f>SUMIF(第8节!$A$3:$A$313,A17,第8节!D$3:D$313)</f>
        <v/>
      </c>
      <c r="E27" s="25">
        <f>SUMIF(第8节!$A$3:$A$313,A17,第8节!E$3:E$313)</f>
        <v/>
      </c>
      <c r="F27" s="25">
        <f>SUMIF(第8节!$A$3:$A$313,A17,第8节!F$3:F$313)</f>
        <v/>
      </c>
      <c r="G27" s="46">
        <f>IF(D17=0,0,ROUND(F17/(D17*2),3))</f>
        <v/>
      </c>
      <c r="H27" s="25">
        <f>SUMIF(第8节!$A$3:$A$313,A17,第8节!G$3:G$313)</f>
        <v/>
      </c>
      <c r="I27" s="25">
        <f>SUMIF(第8节!$A$3:$A$313,A17,第8节!H$3:H$313)</f>
        <v/>
      </c>
      <c r="J27" s="25">
        <f>SUMIF(第8节!$A$3:$A$313,A17,第8节!I$3:I$313)</f>
        <v/>
      </c>
      <c r="K27" s="46">
        <f>IF(H17=0,0,ROUND(J17/(H17*2),3))</f>
        <v/>
      </c>
      <c r="L27" s="25">
        <f>SUMIF(第8节!$A$3:$A$313,A17,第8节!J$3:J$313)</f>
        <v/>
      </c>
      <c r="M27" s="25">
        <f>SUMIF(第8节!$A$3:$A$313,A17,第8节!K$3:K$313)</f>
        <v/>
      </c>
      <c r="N27" s="25">
        <f>SUMIF(第8节!$A$3:$A$313,A17,第8节!L$3:L$313)</f>
        <v/>
      </c>
      <c r="O27" s="46">
        <f>IF(L17=0,0,ROUND(N17/(L17*3),3))</f>
        <v/>
      </c>
      <c r="P27" s="25">
        <f>SUMIF(第8节!$A$3:$A$313,A17,第8节!M$3:M$313)</f>
        <v/>
      </c>
      <c r="Q27" s="25">
        <f>SUMIF(第8节!$A$3:$A$313,A17,第8节!N$3:N$313)</f>
        <v/>
      </c>
      <c r="R27" s="25">
        <f>SUMIF(第8节!$A$3:$A$313,A17,第8节!O$3:O$313)</f>
        <v/>
      </c>
      <c r="S27" s="46">
        <f>IF(P17=0,0,ROUND(R17/P17,3))</f>
        <v/>
      </c>
      <c r="T27" s="25">
        <f>D17+H17+L17+P17</f>
        <v/>
      </c>
      <c r="U27" s="25">
        <f>E17+I17+M17+Q17</f>
        <v/>
      </c>
      <c r="V27" s="25">
        <f>F17+J17+N17+R17</f>
        <v/>
      </c>
      <c r="W27" s="46">
        <f>IF(D17+H17+L17+P17=0,0,ROUND((F17/2+J17/2+N17/3+R17)/(D17+H17+L17+P17),3))</f>
        <v/>
      </c>
      <c r="X27" s="25">
        <f>SUMIF(第8节!$A$3:$A$313,A17,第8节!S$3:S$313)</f>
        <v/>
      </c>
      <c r="Y27" s="25">
        <f>SUMIF(第8节!$A$3:$A$313,A17,第8节!T$3:T$313)</f>
        <v/>
      </c>
      <c r="Z27" s="25">
        <f>X17+Y17</f>
        <v/>
      </c>
      <c r="AA27" s="25">
        <f>SUMIF(第8节!$A$3:$A$313,A17,第8节!V$3:V$313)</f>
        <v/>
      </c>
      <c r="AB27" s="25">
        <f>SUMIF(第8节!$A$3:$A$313,A17,第8节!W$3:W$313)</f>
        <v/>
      </c>
      <c r="AC27" s="25">
        <f>SUMIF(第8节!$A$3:$A$313,A17,第8节!X$3:X$313)</f>
        <v/>
      </c>
      <c r="AD27" s="27" t="n"/>
    </row>
    <row r="28">
      <c r="A28" s="23" t="inlineStr">
        <is>
          <t>B队球员12</t>
        </is>
      </c>
      <c r="B28" s="23">
        <f>COUNTIF(第8节!$A$3:$A$313,A17)</f>
        <v/>
      </c>
      <c r="C28" s="24">
        <f>SUMIF(第8节!$A$3:$A$313,A17,第8节!$C$3:$C$313)-SUMIF(第8节!$A$3:$A$313,A17,第8节!$B$3:$B$313)</f>
        <v/>
      </c>
      <c r="D28" s="25">
        <f>SUMIF(第8节!$A$3:$A$313,A17,第8节!D$3:D$313)</f>
        <v/>
      </c>
      <c r="E28" s="25">
        <f>SUMIF(第8节!$A$3:$A$313,A17,第8节!E$3:E$313)</f>
        <v/>
      </c>
      <c r="F28" s="25">
        <f>SUMIF(第8节!$A$3:$A$313,A17,第8节!F$3:F$313)</f>
        <v/>
      </c>
      <c r="G28" s="46">
        <f>IF(D17=0,0,ROUND(F17/(D17*2),3))</f>
        <v/>
      </c>
      <c r="H28" s="25">
        <f>SUMIF(第8节!$A$3:$A$313,A17,第8节!G$3:G$313)</f>
        <v/>
      </c>
      <c r="I28" s="25">
        <f>SUMIF(第8节!$A$3:$A$313,A17,第8节!H$3:H$313)</f>
        <v/>
      </c>
      <c r="J28" s="25">
        <f>SUMIF(第8节!$A$3:$A$313,A17,第8节!I$3:I$313)</f>
        <v/>
      </c>
      <c r="K28" s="46">
        <f>IF(H17=0,0,ROUND(J17/(H17*2),3))</f>
        <v/>
      </c>
      <c r="L28" s="25">
        <f>SUMIF(第8节!$A$3:$A$313,A17,第8节!J$3:J$313)</f>
        <v/>
      </c>
      <c r="M28" s="25">
        <f>SUMIF(第8节!$A$3:$A$313,A17,第8节!K$3:K$313)</f>
        <v/>
      </c>
      <c r="N28" s="25">
        <f>SUMIF(第8节!$A$3:$A$313,A17,第8节!L$3:L$313)</f>
        <v/>
      </c>
      <c r="O28" s="46">
        <f>IF(L17=0,0,ROUND(N17/(L17*3),3))</f>
        <v/>
      </c>
      <c r="P28" s="25">
        <f>SUMIF(第8节!$A$3:$A$313,A17,第8节!M$3:M$313)</f>
        <v/>
      </c>
      <c r="Q28" s="25">
        <f>SUMIF(第8节!$A$3:$A$313,A17,第8节!N$3:N$313)</f>
        <v/>
      </c>
      <c r="R28" s="25">
        <f>SUMIF(第8节!$A$3:$A$313,A17,第8节!O$3:O$313)</f>
        <v/>
      </c>
      <c r="S28" s="46">
        <f>IF(P17=0,0,ROUND(R17/P17,3))</f>
        <v/>
      </c>
      <c r="T28" s="25">
        <f>D17+H17+L17+P17</f>
        <v/>
      </c>
      <c r="U28" s="25">
        <f>E17+I17+M17+Q17</f>
        <v/>
      </c>
      <c r="V28" s="25">
        <f>F17+J17+N17+R17</f>
        <v/>
      </c>
      <c r="W28" s="46">
        <f>IF(D17+H17+L17+P17=0,0,ROUND((F17/2+J17/2+N17/3+R17)/(D17+H17+L17+P17),3))</f>
        <v/>
      </c>
      <c r="X28" s="25">
        <f>SUMIF(第8节!$A$3:$A$313,A17,第8节!S$3:S$313)</f>
        <v/>
      </c>
      <c r="Y28" s="25">
        <f>SUMIF(第8节!$A$3:$A$313,A17,第8节!T$3:T$313)</f>
        <v/>
      </c>
      <c r="Z28" s="25">
        <f>X17+Y17</f>
        <v/>
      </c>
      <c r="AA28" s="25">
        <f>SUMIF(第8节!$A$3:$A$313,A17,第8节!V$3:V$313)</f>
        <v/>
      </c>
      <c r="AB28" s="25">
        <f>SUMIF(第8节!$A$3:$A$313,A17,第8节!W$3:W$313)</f>
        <v/>
      </c>
      <c r="AC28" s="25">
        <f>SUMIF(第8节!$A$3:$A$313,A17,第8节!X$3:X$313)</f>
        <v/>
      </c>
      <c r="AD28" s="27" t="n"/>
    </row>
    <row r="29">
      <c r="A29" s="28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3.5" outlineLevelRow="6"/>
  <cols>
    <col width="20" customWidth="1" min="1" max="1"/>
    <col width="80" customWidth="1" min="2" max="2"/>
  </cols>
  <sheetData>
    <row r="1">
      <c r="A1" s="47" t="inlineStr">
        <is>
          <t>表格用途</t>
        </is>
      </c>
      <c r="B1" s="47" t="inlineStr">
        <is>
          <t>常青藤篮球训练馆「队内训练赛剪辑统计模板」，每次比赛复制一份，按说明填写。</t>
        </is>
      </c>
    </row>
    <row r="2">
      <c r="A2" s="47" t="inlineStr"/>
      <c r="B2" s="47" t="inlineStr"/>
    </row>
    <row r="3">
      <c r="A3" s="63" t="inlineStr">
        <is>
          <t>【整体结构】</t>
        </is>
      </c>
      <c r="B3" s="64" t="n"/>
    </row>
    <row r="4">
      <c r="A4" s="49" t="inlineStr">
        <is>
          <t>剪辑记录（母表）</t>
        </is>
      </c>
      <c r="B4" s="47" t="inlineStr">
        <is>
          <t>所有事件完整记录在这里，时间=母带绝对时间，从0开始连续计算</t>
        </is>
      </c>
    </row>
    <row r="5">
      <c r="A5" s="49" t="inlineStr">
        <is>
          <t>球队统计总表（全场）</t>
        </is>
      </c>
      <c r="B5" s="47" t="inlineStr">
        <is>
          <t>自动从「剪辑记录」统计出的全场球员数据</t>
        </is>
      </c>
    </row>
    <row r="6">
      <c r="A6" s="49" t="inlineStr">
        <is>
          <t>第1节~第8节</t>
        </is>
      </c>
      <c r="B6" s="47" t="inlineStr">
        <is>
          <t>从母表按比赛实际分段拆出来的，每节对应一段比赛</t>
        </is>
      </c>
    </row>
    <row r="7">
      <c r="A7" s="49" t="inlineStr">
        <is>
          <t>第N节数据</t>
        </is>
      </c>
      <c r="B7" s="47" t="inlineStr">
        <is>
          <t>自动从对应「第N节」剪辑sheet统计出的该节球员数据</t>
        </is>
      </c>
    </row>
    <row r="8">
      <c r="A8" s="47" t="inlineStr"/>
      <c r="B8" s="47" t="inlineStr"/>
    </row>
    <row r="9">
      <c r="A9" s="63" t="inlineStr">
        <is>
          <t>【数据关联与复核】</t>
        </is>
      </c>
      <c r="B9" s="64" t="n"/>
    </row>
    <row r="10">
      <c r="A10" s="49" t="inlineStr">
        <is>
          <t>自动计算</t>
        </is>
      </c>
      <c r="B10" s="47" t="inlineStr">
        <is>
          <t>所有sheet的数据统计公式都已提前做好，填完事件自动出结果，不用手动算</t>
        </is>
      </c>
    </row>
    <row r="11">
      <c r="A11" s="65" t="inlineStr">
        <is>
          <t>全场 = 各节之和</t>
        </is>
      </c>
      <c r="B11" s="65" t="inlineStr">
        <is>
          <t>全场总得分 = 第1节得分 + 第2节得分 + ... + 第8节得分</t>
        </is>
      </c>
    </row>
    <row r="12">
      <c r="A12" s="47" t="inlineStr"/>
      <c r="B12" s="47" t="inlineStr">
        <is>
          <t>每节球员数据加起来应该等于全场对应球员的数据</t>
        </is>
      </c>
    </row>
    <row r="13">
      <c r="A13" s="65" t="inlineStr"/>
      <c r="B13" s="65" t="inlineStr">
        <is>
          <t>如果对不上，说明某节拆分错了或者漏了事件，方便定位问题</t>
        </is>
      </c>
    </row>
    <row r="14">
      <c r="A14" s="47" t="inlineStr"/>
      <c r="B14" s="47" t="inlineStr"/>
    </row>
    <row r="15">
      <c r="A15" s="63" t="inlineStr">
        <is>
          <t>【时间口径】⚠️ 重要</t>
        </is>
      </c>
      <c r="B15" s="64" t="n"/>
    </row>
    <row r="16">
      <c r="A16" s="49" t="inlineStr">
        <is>
          <t>母带</t>
        </is>
      </c>
      <c r="B16" s="47" t="inlineStr">
        <is>
          <t>所有比赛素材拼接后的完整视频</t>
        </is>
      </c>
    </row>
    <row r="17">
      <c r="A17" s="65" t="inlineStr">
        <is>
          <t>分段时间规则</t>
        </is>
      </c>
      <c r="B17" s="65" t="inlineStr">
        <is>
          <t>所有sheet里的时间都是母带绝对时间，直接用ffmpeg从母带对应位置切即可。不要每节都从0开始！</t>
        </is>
      </c>
    </row>
    <row r="18">
      <c r="A18" s="47" t="inlineStr"/>
      <c r="B18" s="47" t="inlineStr"/>
    </row>
    <row r="19">
      <c r="A19" s="63" t="inlineStr">
        <is>
          <t>【列说明】</t>
        </is>
      </c>
      <c r="B19" s="64" t="n"/>
    </row>
    <row r="20">
      <c r="A20" s="49" t="inlineStr">
        <is>
          <t>球员</t>
        </is>
      </c>
      <c r="B20" s="47" t="inlineStr">
        <is>
          <t>球员姓名（A队12人、B队12人，按实际替换占位名）</t>
        </is>
      </c>
    </row>
    <row r="21">
      <c r="A21" s="49" t="inlineStr">
        <is>
          <t>开始/结束时间</t>
        </is>
      </c>
      <c r="B21" s="47" t="inlineStr">
        <is>
          <t>字幕完整窗口的起止时间</t>
        </is>
      </c>
    </row>
    <row r="22">
      <c r="A22" s="49" t="inlineStr">
        <is>
          <t>近投/中投/远投/罚球</t>
        </is>
      </c>
      <c r="B22" s="47" t="inlineStr">
        <is>
          <t>出手次数、命中次数、得分</t>
        </is>
      </c>
    </row>
    <row r="23">
      <c r="A23" s="49" t="inlineStr">
        <is>
          <t>进攻篮板</t>
        </is>
      </c>
      <c r="B23" s="47" t="inlineStr">
        <is>
          <t>投失后本方抢到的篮板</t>
        </is>
      </c>
    </row>
    <row r="24">
      <c r="A24" s="49" t="inlineStr">
        <is>
          <t>防守篮板</t>
        </is>
      </c>
      <c r="B24" s="47" t="inlineStr">
        <is>
          <t>对方投失后本方抢到的篮板</t>
        </is>
      </c>
    </row>
    <row r="25">
      <c r="A25" s="47" t="inlineStr"/>
      <c r="B25" s="47" t="inlineStr"/>
    </row>
    <row r="26">
      <c r="A26" s="63" t="inlineStr">
        <is>
          <t>【填写规则】</t>
        </is>
      </c>
      <c r="B26" s="64" t="n"/>
    </row>
    <row r="27">
      <c r="A27" s="47" t="inlineStr"/>
      <c r="B27" s="47" t="inlineStr">
        <is>
          <t>1. 先把所有事件填到「剪辑记录」母表里</t>
        </is>
      </c>
    </row>
    <row r="28">
      <c r="A28" s="47" t="inlineStr"/>
      <c r="B28" s="47" t="inlineStr">
        <is>
          <t>2. 再按比赛分段，把对应时间段的事件复制到各节sheet里</t>
        </is>
      </c>
    </row>
    <row r="29">
      <c r="A29" s="47" t="inlineStr"/>
      <c r="B29" s="47" t="inlineStr">
        <is>
          <t>3. 每条事件一行，对应一段字幕</t>
        </is>
      </c>
    </row>
    <row r="30">
      <c r="A30" s="47" t="inlineStr"/>
      <c r="B30" s="47" t="inlineStr">
        <is>
          <t>4. 得分只认「得分+N」，投篮动作计出手次数</t>
        </is>
      </c>
    </row>
    <row r="31">
      <c r="A31" s="47" t="inlineStr"/>
      <c r="B31" s="47" t="inlineStr">
        <is>
          <t>5. 补篮归属给投进者</t>
        </is>
      </c>
    </row>
    <row r="32">
      <c r="A32" s="47" t="inlineStr"/>
      <c r="B32" s="47" t="inlineStr">
        <is>
          <t>6. 同一条字幕不要拆成多行</t>
        </is>
      </c>
    </row>
  </sheetData>
  <mergeCells count="5">
    <mergeCell ref="A26:B26"/>
    <mergeCell ref="A15:B15"/>
    <mergeCell ref="A19:B19"/>
    <mergeCell ref="A9:B9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2026-09-09T08:08:00Z</dcterms:created>
  <dcterms:modified xsi:type="dcterms:W3CDTF">2026-10-23T08:31:58Z</dcterms:modified>
  <cp:lastModifiedBy>22806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B8AAC9BD855D4896AA4B044B4EEB93C6_13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